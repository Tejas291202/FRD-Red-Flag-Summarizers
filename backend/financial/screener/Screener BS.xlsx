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KLP EPP\OneDrive\Desktop\"/>
    </mc:Choice>
  </mc:AlternateContent>
  <xr:revisionPtr revIDLastSave="0" documentId="13_ncr:1_{2FB22199-CE13-4087-9873-20D20B5DD0D1}" xr6:coauthVersionLast="45" xr6:coauthVersionMax="45" xr10:uidLastSave="{00000000-0000-0000-0000-000000000000}"/>
  <bookViews>
    <workbookView xWindow="-110" yWindow="-110" windowWidth="19420" windowHeight="11500" activeTab="2" xr2:uid="{00000000-000D-0000-FFFF-FFFF00000000}"/>
  </bookViews>
  <sheets>
    <sheet name="BS" sheetId="1" r:id="rId1"/>
    <sheet name="P&amp;L" sheetId="2" r:id="rId2"/>
    <sheet name="Cashflows" sheetId="3" r:id="rId3"/>
  </sheets>
  <externalReferences>
    <externalReference r:id="rId4"/>
  </externalReferences>
  <definedNames>
    <definedName name="UPDATE">'[1]Data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7" i="3" l="1"/>
  <c r="J7" i="3"/>
  <c r="I7" i="3"/>
  <c r="H7" i="3"/>
  <c r="G7" i="3"/>
  <c r="F7" i="3"/>
  <c r="E7" i="3"/>
  <c r="D7" i="3"/>
  <c r="C7" i="3"/>
  <c r="B7" i="3"/>
  <c r="K6" i="3"/>
  <c r="J6" i="3"/>
  <c r="I6" i="3"/>
  <c r="H6" i="3"/>
  <c r="G6" i="3"/>
  <c r="F6" i="3"/>
  <c r="E6" i="3"/>
  <c r="D6" i="3"/>
  <c r="C6" i="3"/>
  <c r="B6" i="3"/>
  <c r="K5" i="3"/>
  <c r="J5" i="3"/>
  <c r="I5" i="3"/>
  <c r="H5" i="3"/>
  <c r="G5" i="3"/>
  <c r="F5" i="3"/>
  <c r="E5" i="3"/>
  <c r="D5" i="3"/>
  <c r="C5" i="3"/>
  <c r="B5" i="3"/>
  <c r="K4" i="3"/>
  <c r="J4" i="3"/>
  <c r="I4" i="3"/>
  <c r="H4" i="3"/>
  <c r="G4" i="3"/>
  <c r="F4" i="3"/>
  <c r="E4" i="3"/>
  <c r="D4" i="3"/>
  <c r="C4" i="3"/>
  <c r="B4" i="3"/>
  <c r="K3" i="3"/>
  <c r="J3" i="3"/>
  <c r="I3" i="3"/>
  <c r="H3" i="3"/>
  <c r="G3" i="3"/>
  <c r="F3" i="3"/>
  <c r="E3" i="3"/>
  <c r="D3" i="3"/>
  <c r="C3" i="3"/>
  <c r="B3" i="3"/>
  <c r="E1" i="3"/>
  <c r="A1" i="3"/>
  <c r="H23" i="2"/>
  <c r="K18" i="2"/>
  <c r="J18" i="2"/>
  <c r="I18" i="2"/>
  <c r="H18" i="2"/>
  <c r="G18" i="2"/>
  <c r="F18" i="2"/>
  <c r="E18" i="2"/>
  <c r="D18" i="2"/>
  <c r="C18" i="2"/>
  <c r="B18" i="2"/>
  <c r="L15" i="2"/>
  <c r="K15" i="2"/>
  <c r="K14" i="2" s="1"/>
  <c r="J15" i="2"/>
  <c r="J14" i="2" s="1"/>
  <c r="I15" i="2"/>
  <c r="I14" i="2" s="1"/>
  <c r="K25" i="2" s="1"/>
  <c r="M25" i="2" s="1"/>
  <c r="M14" i="2" s="1"/>
  <c r="H15" i="2"/>
  <c r="G15" i="2"/>
  <c r="F15" i="2"/>
  <c r="E15" i="2"/>
  <c r="D15" i="2"/>
  <c r="C15" i="2"/>
  <c r="C14" i="2" s="1"/>
  <c r="B15" i="2"/>
  <c r="B14" i="2" s="1"/>
  <c r="L14" i="2"/>
  <c r="L25" i="2" s="1"/>
  <c r="E14" i="2"/>
  <c r="D14" i="2"/>
  <c r="N13" i="2"/>
  <c r="M13" i="2"/>
  <c r="L13" i="2"/>
  <c r="K13" i="2"/>
  <c r="J13" i="2"/>
  <c r="I13" i="2"/>
  <c r="E13" i="2"/>
  <c r="D13" i="2"/>
  <c r="C13" i="2"/>
  <c r="B13" i="2"/>
  <c r="L12" i="2"/>
  <c r="K12" i="2"/>
  <c r="J12" i="2"/>
  <c r="I12" i="2"/>
  <c r="H12" i="2"/>
  <c r="H13" i="2" s="1"/>
  <c r="G12" i="2"/>
  <c r="G13" i="2" s="1"/>
  <c r="G14" i="2" s="1"/>
  <c r="F12" i="2"/>
  <c r="F13" i="2" s="1"/>
  <c r="F14" i="2" s="1"/>
  <c r="E12" i="2"/>
  <c r="D12" i="2"/>
  <c r="C12" i="2"/>
  <c r="B12" i="2"/>
  <c r="L11" i="2"/>
  <c r="M11" i="2" s="1"/>
  <c r="K11" i="2"/>
  <c r="J11" i="2"/>
  <c r="I11" i="2"/>
  <c r="H11" i="2"/>
  <c r="G11" i="2"/>
  <c r="F11" i="2"/>
  <c r="E11" i="2"/>
  <c r="D11" i="2"/>
  <c r="C11" i="2"/>
  <c r="B11" i="2"/>
  <c r="L10" i="2"/>
  <c r="N11" i="2" s="1"/>
  <c r="K10" i="2"/>
  <c r="J10" i="2"/>
  <c r="I10" i="2"/>
  <c r="H10" i="2"/>
  <c r="G10" i="2"/>
  <c r="F10" i="2"/>
  <c r="E10" i="2"/>
  <c r="D10" i="2"/>
  <c r="C10" i="2"/>
  <c r="B10" i="2"/>
  <c r="N9" i="2"/>
  <c r="M9" i="2"/>
  <c r="L9" i="2"/>
  <c r="K9" i="2"/>
  <c r="J9" i="2"/>
  <c r="I9" i="2"/>
  <c r="H9" i="2"/>
  <c r="G9" i="2"/>
  <c r="F9" i="2"/>
  <c r="E9" i="2"/>
  <c r="D9" i="2"/>
  <c r="C9" i="2"/>
  <c r="B9" i="2"/>
  <c r="L8" i="2"/>
  <c r="N8" i="2" s="1"/>
  <c r="K8" i="2"/>
  <c r="J8" i="2"/>
  <c r="I8" i="2"/>
  <c r="H8" i="2"/>
  <c r="G8" i="2"/>
  <c r="F8" i="2"/>
  <c r="E8" i="2"/>
  <c r="D8" i="2"/>
  <c r="C8" i="2"/>
  <c r="B8" i="2"/>
  <c r="L7" i="2"/>
  <c r="K7" i="2"/>
  <c r="J7" i="2"/>
  <c r="I7" i="2"/>
  <c r="H7" i="2"/>
  <c r="G7" i="2"/>
  <c r="F7" i="2"/>
  <c r="E7" i="2"/>
  <c r="D7" i="2"/>
  <c r="C7" i="2"/>
  <c r="B7" i="2"/>
  <c r="L6" i="2"/>
  <c r="L19" i="2" s="1"/>
  <c r="L24" i="2" s="1"/>
  <c r="K6" i="2"/>
  <c r="K19" i="2" s="1"/>
  <c r="J6" i="2"/>
  <c r="J19" i="2" s="1"/>
  <c r="C6" i="2"/>
  <c r="C19" i="2" s="1"/>
  <c r="B6" i="2"/>
  <c r="B19" i="2" s="1"/>
  <c r="L5" i="2"/>
  <c r="K5" i="2"/>
  <c r="J5" i="2"/>
  <c r="I5" i="2"/>
  <c r="H5" i="2"/>
  <c r="G5" i="2"/>
  <c r="F5" i="2"/>
  <c r="E5" i="2"/>
  <c r="D5" i="2"/>
  <c r="C5" i="2"/>
  <c r="B5" i="2"/>
  <c r="L4" i="2"/>
  <c r="L23" i="2" s="1"/>
  <c r="K4" i="2"/>
  <c r="J4" i="2"/>
  <c r="I4" i="2"/>
  <c r="H4" i="2"/>
  <c r="K23" i="2" s="1"/>
  <c r="G4" i="2"/>
  <c r="F4" i="2"/>
  <c r="J23" i="2" s="1"/>
  <c r="E4" i="2"/>
  <c r="D4" i="2"/>
  <c r="C4" i="2"/>
  <c r="B4" i="2"/>
  <c r="K3" i="2"/>
  <c r="J3" i="2"/>
  <c r="I3" i="2"/>
  <c r="H3" i="2"/>
  <c r="G3" i="2"/>
  <c r="F3" i="2"/>
  <c r="E3" i="2"/>
  <c r="D3" i="2"/>
  <c r="C3" i="2"/>
  <c r="B3" i="2"/>
  <c r="H1" i="2"/>
  <c r="A1" i="2"/>
  <c r="K23" i="1"/>
  <c r="J23" i="1"/>
  <c r="I23" i="1"/>
  <c r="H23" i="1"/>
  <c r="G23" i="1"/>
  <c r="F23" i="1"/>
  <c r="E23" i="1"/>
  <c r="D23" i="1"/>
  <c r="C23" i="1"/>
  <c r="B23" i="1"/>
  <c r="K21" i="1"/>
  <c r="J21" i="1"/>
  <c r="I21" i="1"/>
  <c r="H21" i="1"/>
  <c r="G21" i="1"/>
  <c r="F21" i="1"/>
  <c r="E21" i="1"/>
  <c r="D21" i="1"/>
  <c r="C21" i="1"/>
  <c r="B21" i="1"/>
  <c r="K20" i="1"/>
  <c r="J20" i="1"/>
  <c r="I20" i="1"/>
  <c r="H20" i="1"/>
  <c r="G20" i="1"/>
  <c r="F20" i="1"/>
  <c r="E20" i="1"/>
  <c r="D20" i="1"/>
  <c r="C20" i="1"/>
  <c r="B20" i="1"/>
  <c r="K18" i="1"/>
  <c r="J18" i="1"/>
  <c r="I18" i="1"/>
  <c r="H18" i="1"/>
  <c r="G18" i="1"/>
  <c r="F18" i="1"/>
  <c r="E18" i="1"/>
  <c r="D18" i="1"/>
  <c r="C18" i="1"/>
  <c r="B18" i="1"/>
  <c r="K17" i="1"/>
  <c r="J17" i="1"/>
  <c r="I17" i="1"/>
  <c r="H17" i="1"/>
  <c r="G17" i="1"/>
  <c r="F17" i="1"/>
  <c r="E17" i="1"/>
  <c r="D17" i="1"/>
  <c r="C17" i="1"/>
  <c r="B17" i="1"/>
  <c r="K16" i="1"/>
  <c r="D16" i="1"/>
  <c r="C16" i="1"/>
  <c r="K14" i="1"/>
  <c r="J14" i="1"/>
  <c r="I14" i="1"/>
  <c r="H14" i="1"/>
  <c r="G14" i="1"/>
  <c r="F14" i="1"/>
  <c r="E14" i="1"/>
  <c r="D14" i="1"/>
  <c r="C14" i="1"/>
  <c r="B14" i="1"/>
  <c r="K13" i="1"/>
  <c r="J13" i="1"/>
  <c r="J16" i="1" s="1"/>
  <c r="I13" i="1"/>
  <c r="H13" i="1"/>
  <c r="H16" i="1" s="1"/>
  <c r="G13" i="1"/>
  <c r="G16" i="1" s="1"/>
  <c r="F13" i="1"/>
  <c r="F16" i="1" s="1"/>
  <c r="E13" i="1"/>
  <c r="E16" i="1" s="1"/>
  <c r="D13" i="1"/>
  <c r="C13" i="1"/>
  <c r="B13" i="1"/>
  <c r="B16" i="1" s="1"/>
  <c r="K12" i="1"/>
  <c r="J12" i="1"/>
  <c r="I12" i="1"/>
  <c r="H12" i="1"/>
  <c r="G12" i="1"/>
  <c r="F12" i="1"/>
  <c r="E12" i="1"/>
  <c r="D12" i="1"/>
  <c r="C12" i="1"/>
  <c r="B12" i="1"/>
  <c r="K11" i="1"/>
  <c r="J11" i="1"/>
  <c r="I11" i="1"/>
  <c r="H11" i="1"/>
  <c r="G11" i="1"/>
  <c r="F11" i="1"/>
  <c r="E11" i="1"/>
  <c r="D11" i="1"/>
  <c r="C11" i="1"/>
  <c r="B11" i="1"/>
  <c r="K10" i="1"/>
  <c r="J10" i="1"/>
  <c r="I10" i="1"/>
  <c r="H10" i="1"/>
  <c r="G10" i="1"/>
  <c r="F10" i="1"/>
  <c r="E10" i="1"/>
  <c r="D10" i="1"/>
  <c r="C10" i="1"/>
  <c r="B10" i="1"/>
  <c r="K8" i="1"/>
  <c r="J8" i="1"/>
  <c r="I8" i="1"/>
  <c r="H8" i="1"/>
  <c r="G8" i="1"/>
  <c r="F8" i="1"/>
  <c r="E8" i="1"/>
  <c r="D8" i="1"/>
  <c r="C8" i="1"/>
  <c r="B8" i="1"/>
  <c r="K7" i="1"/>
  <c r="J7" i="1"/>
  <c r="I7" i="1"/>
  <c r="I16" i="1" s="1"/>
  <c r="H7" i="1"/>
  <c r="G7" i="1"/>
  <c r="F7" i="1"/>
  <c r="E7" i="1"/>
  <c r="D7" i="1"/>
  <c r="C7" i="1"/>
  <c r="B7" i="1"/>
  <c r="K6" i="1"/>
  <c r="J6" i="1"/>
  <c r="I6" i="1"/>
  <c r="H6" i="1"/>
  <c r="G6" i="1"/>
  <c r="F6" i="1"/>
  <c r="E6" i="1"/>
  <c r="D6" i="1"/>
  <c r="C6" i="1"/>
  <c r="B6" i="1"/>
  <c r="K5" i="1"/>
  <c r="J5" i="1"/>
  <c r="I5" i="1"/>
  <c r="H5" i="1"/>
  <c r="G5" i="1"/>
  <c r="F5" i="1"/>
  <c r="E5" i="1"/>
  <c r="D5" i="1"/>
  <c r="C5" i="1"/>
  <c r="B5" i="1"/>
  <c r="K4" i="1"/>
  <c r="J4" i="1"/>
  <c r="K24" i="1" s="1"/>
  <c r="I4" i="1"/>
  <c r="J24" i="1" s="1"/>
  <c r="H4" i="1"/>
  <c r="I24" i="1" s="1"/>
  <c r="G4" i="1"/>
  <c r="H24" i="1" s="1"/>
  <c r="F4" i="1"/>
  <c r="G24" i="1" s="1"/>
  <c r="E4" i="1"/>
  <c r="F24" i="1" s="1"/>
  <c r="D4" i="1"/>
  <c r="E24" i="1" s="1"/>
  <c r="C4" i="1"/>
  <c r="D24" i="1" s="1"/>
  <c r="B4" i="1"/>
  <c r="C24" i="1" s="1"/>
  <c r="K3" i="1"/>
  <c r="J3" i="1"/>
  <c r="I3" i="1"/>
  <c r="H3" i="1"/>
  <c r="G3" i="1"/>
  <c r="F3" i="1"/>
  <c r="E3" i="1"/>
  <c r="D3" i="1"/>
  <c r="C3" i="1"/>
  <c r="B3" i="1"/>
  <c r="E1" i="1"/>
  <c r="A1" i="1"/>
  <c r="H14" i="2" l="1"/>
  <c r="H25" i="2"/>
  <c r="M23" i="2"/>
  <c r="M4" i="2" s="1"/>
  <c r="I25" i="2"/>
  <c r="K24" i="2"/>
  <c r="M24" i="2" s="1"/>
  <c r="I24" i="2"/>
  <c r="M15" i="2"/>
  <c r="J25" i="2"/>
  <c r="N23" i="2"/>
  <c r="N4" i="2" s="1"/>
  <c r="D6" i="2"/>
  <c r="D19" i="2" s="1"/>
  <c r="H24" i="2" s="1"/>
  <c r="N24" i="2" s="1"/>
  <c r="E6" i="2"/>
  <c r="E19" i="2" s="1"/>
  <c r="M8" i="2"/>
  <c r="F6" i="2"/>
  <c r="F19" i="2" s="1"/>
  <c r="G6" i="2"/>
  <c r="G19" i="2" s="1"/>
  <c r="H6" i="2"/>
  <c r="H19" i="2" s="1"/>
  <c r="I23" i="2"/>
  <c r="I6" i="2"/>
  <c r="I19" i="2" s="1"/>
  <c r="J24" i="2" s="1"/>
  <c r="M5" i="2" l="1"/>
  <c r="M6" i="2"/>
  <c r="M10" i="2" s="1"/>
  <c r="M12" i="2" s="1"/>
  <c r="N6" i="2"/>
  <c r="N10" i="2" s="1"/>
  <c r="N12" i="2" s="1"/>
  <c r="N25" i="2"/>
  <c r="N14" i="2" s="1"/>
  <c r="N15" i="2" s="1"/>
  <c r="N5" i="2" l="1"/>
</calcChain>
</file>

<file path=xl/sharedStrings.xml><?xml version="1.0" encoding="utf-8"?>
<sst xmlns="http://schemas.openxmlformats.org/spreadsheetml/2006/main" count="56" uniqueCount="50">
  <si>
    <t>SCREENER.IN</t>
  </si>
  <si>
    <t>Narration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</si>
  <si>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</si>
  <si>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</si>
  <si>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</si>
  <si>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</si>
  <si>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</si>
  <si>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</si>
  <si>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</si>
  <si>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</si>
  <si>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</si>
  <si>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Working Capital</t>
  </si>
  <si>
    <t>Debtors</t>
  </si>
  <si>
    <t>Inventory</t>
  </si>
  <si>
    <t>Debtor Days</t>
  </si>
  <si>
    <t>Inventory Turnover</t>
  </si>
  <si>
    <t>Return on Equity</t>
  </si>
  <si>
    <t>Return on Capital Emp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</si>
  <si>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</si>
  <si>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</si>
  <si>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</si>
  <si>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</si>
  <si>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</si>
  <si>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</si>
  <si>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</si>
  <si>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</si>
  <si>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</si>
  <si>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</si>
  <si>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</si>
  <si>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</si>
  <si>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EPS</t>
  </si>
  <si>
    <t>Price to earning</t>
  </si>
  <si>
    <t>Price</t>
  </si>
  <si>
    <t>RATIOS:</t>
  </si>
  <si>
    <t>Dividend Payout</t>
  </si>
  <si>
    <t>OPM</t>
  </si>
  <si>
    <t>TRENDS:</t>
  </si>
  <si>
    <t>10 YEARS</t>
  </si>
  <si>
    <t>7 YEARS</t>
  </si>
  <si>
    <t>5 YEARS</t>
  </si>
  <si>
    <t>3 YEARS</t>
  </si>
  <si>
    <t>RECENT</t>
  </si>
  <si>
    <t>BEST</t>
  </si>
  <si>
    <t>WORST</t>
  </si>
  <si>
    <t>Sales Growth</t>
  </si>
  <si>
    <t>Price to Earning</t>
  </si>
  <si>
    <t>Cash from Operating Activity</t>
  </si>
  <si>
    <t>Cash from Investing Activity</t>
  </si>
  <si>
    <t>Cash from Financing Activity</t>
  </si>
  <si>
    <t>Net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</si>
</sst>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409]mmm\-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2" fillId="4" borderId="0" xfId="0" applyFont="1" applyFill="1"/>
    <xf numFmtId="164" fontId="2" fillId="4" borderId="0" xfId="0" applyNumberFormat="1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3" fillId="0" borderId="0" xfId="1" applyFont="1" applyBorder="1" applyAlignment="1">
      <alignment horizontal="center"/>
    </xf>
    <xf numFmtId="43" fontId="0" fillId="0" borderId="0" xfId="1" applyFont="1" applyBorder="1"/>
    <xf numFmtId="9" fontId="3" fillId="0" borderId="0" xfId="2" applyFont="1" applyBorder="1"/>
    <xf numFmtId="0" fontId="4" fillId="0" borderId="0" xfId="0" applyFont="1"/>
    <xf numFmtId="0" fontId="2" fillId="4" borderId="0" xfId="0" applyFont="1" applyFill="1" applyAlignment="1">
      <alignment horizontal="center"/>
    </xf>
    <xf numFmtId="43" fontId="3" fillId="0" borderId="0" xfId="1" applyFont="1" applyBorder="1"/>
    <xf numFmtId="43" fontId="1" fillId="0" borderId="0" xfId="1" applyFont="1" applyBorder="1"/>
    <xf numFmtId="9" fontId="1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10" fontId="0" fillId="0" borderId="0" xfId="0" applyNumberFormat="1"/>
    <xf numFmtId="10" fontId="3" fillId="0" borderId="0" xfId="0" applyNumberFormat="1" applyFont="1"/>
  </cellXfs>
  <cellStyles count="5">
    <cellStyle name="60% - Accent1" xfId="3" builtinId="32"/>
    <cellStyle name="60% - Accent3" xfId="4" builtinId="40"/>
    <cellStyle name="Comma" xfId="1" builtinId="3"/>
    <cellStyle name="Normal" xfId="0" builtinId="0"/>
    <cellStyle name="Percent" xfId="2" builtinId="5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KLP%20EPP\Downloads\Cigniti%20Te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ustomization"/>
      <sheetName val="Data Sheet"/>
    </sheetNames>
    <sheetDataSet>
      <sheetData sheetId="0">
        <row r="1">
          <cell r="A1" t="str">
            <v>CIGNITI TECHNOLOGIES LTD</v>
          </cell>
        </row>
        <row r="4">
          <cell r="B4">
            <v>594.84</v>
          </cell>
          <cell r="C4">
            <v>619.26</v>
          </cell>
          <cell r="D4">
            <v>693.28</v>
          </cell>
          <cell r="E4">
            <v>816.08</v>
          </cell>
          <cell r="F4">
            <v>871.97</v>
          </cell>
          <cell r="G4">
            <v>896.53</v>
          </cell>
          <cell r="H4">
            <v>1241.8</v>
          </cell>
          <cell r="I4">
            <v>1647.58</v>
          </cell>
          <cell r="J4">
            <v>1815.01</v>
          </cell>
          <cell r="K4">
            <v>2014.34</v>
          </cell>
        </row>
        <row r="9">
          <cell r="C9">
            <v>16.100000000000001</v>
          </cell>
          <cell r="D9">
            <v>16.98</v>
          </cell>
          <cell r="E9">
            <v>14.64</v>
          </cell>
          <cell r="F9">
            <v>8</v>
          </cell>
          <cell r="G9">
            <v>5.59</v>
          </cell>
          <cell r="H9">
            <v>5.05</v>
          </cell>
          <cell r="I9">
            <v>4.4000000000000004</v>
          </cell>
          <cell r="J9">
            <v>4.12</v>
          </cell>
          <cell r="K9">
            <v>2.98</v>
          </cell>
        </row>
        <row r="10">
          <cell r="C10">
            <v>-386.97</v>
          </cell>
          <cell r="D10">
            <v>32.94</v>
          </cell>
          <cell r="E10">
            <v>142.22999999999999</v>
          </cell>
          <cell r="F10">
            <v>130.84</v>
          </cell>
          <cell r="G10">
            <v>141.06</v>
          </cell>
          <cell r="H10">
            <v>121.51</v>
          </cell>
          <cell r="I10">
            <v>221.64</v>
          </cell>
          <cell r="J10">
            <v>220.38</v>
          </cell>
          <cell r="K10">
            <v>272.04000000000002</v>
          </cell>
        </row>
        <row r="12">
          <cell r="B12">
            <v>49.68</v>
          </cell>
          <cell r="C12">
            <v>-394.83</v>
          </cell>
          <cell r="D12">
            <v>32.17</v>
          </cell>
          <cell r="E12">
            <v>147.36000000000001</v>
          </cell>
          <cell r="F12">
            <v>121.6</v>
          </cell>
          <cell r="G12">
            <v>105.35</v>
          </cell>
          <cell r="H12">
            <v>91.74</v>
          </cell>
          <cell r="I12">
            <v>168.32</v>
          </cell>
          <cell r="J12">
            <v>165.59</v>
          </cell>
          <cell r="K12">
            <v>200.17</v>
          </cell>
          <cell r="L12">
            <v>302</v>
          </cell>
          <cell r="M12">
            <v>280.26635711068673</v>
          </cell>
          <cell r="N12">
            <v>193.32867039475695</v>
          </cell>
        </row>
      </sheetData>
      <sheetData sheetId="1">
        <row r="4">
          <cell r="H4">
            <v>530.29999999999995</v>
          </cell>
          <cell r="I4">
            <v>534.20000000000005</v>
          </cell>
          <cell r="J4">
            <v>567.29999999999995</v>
          </cell>
          <cell r="K4">
            <v>579.4</v>
          </cell>
        </row>
        <row r="5">
          <cell r="H5">
            <v>440.8</v>
          </cell>
          <cell r="I5">
            <v>445.3</v>
          </cell>
          <cell r="J5">
            <v>471.1</v>
          </cell>
          <cell r="K5">
            <v>475.5</v>
          </cell>
        </row>
        <row r="6">
          <cell r="H6">
            <v>89.5</v>
          </cell>
          <cell r="I6">
            <v>88.9</v>
          </cell>
          <cell r="J6">
            <v>96.2</v>
          </cell>
          <cell r="K6">
            <v>103.9</v>
          </cell>
        </row>
        <row r="7">
          <cell r="H7">
            <v>16.8</v>
          </cell>
          <cell r="I7">
            <v>8.3000000000000007</v>
          </cell>
          <cell r="J7">
            <v>20.399999999999999</v>
          </cell>
          <cell r="K7">
            <v>10.199999999999999</v>
          </cell>
        </row>
        <row r="8">
          <cell r="H8">
            <v>8.1999999999999993</v>
          </cell>
          <cell r="I8">
            <v>7.5</v>
          </cell>
          <cell r="J8">
            <v>5.7</v>
          </cell>
          <cell r="K8">
            <v>4.9000000000000004</v>
          </cell>
        </row>
        <row r="9">
          <cell r="H9">
            <v>0.9</v>
          </cell>
          <cell r="I9">
            <v>0.8</v>
          </cell>
          <cell r="J9">
            <v>0.7</v>
          </cell>
          <cell r="K9">
            <v>1.6</v>
          </cell>
        </row>
        <row r="10">
          <cell r="H10">
            <v>97.2</v>
          </cell>
          <cell r="I10">
            <v>88.9</v>
          </cell>
          <cell r="J10">
            <v>110.2</v>
          </cell>
          <cell r="K10">
            <v>107.6</v>
          </cell>
        </row>
        <row r="11">
          <cell r="H11">
            <v>24</v>
          </cell>
          <cell r="I11">
            <v>23</v>
          </cell>
          <cell r="J11">
            <v>27.6</v>
          </cell>
          <cell r="K11">
            <v>27.3</v>
          </cell>
        </row>
        <row r="12">
          <cell r="H12">
            <v>73.2</v>
          </cell>
          <cell r="I12">
            <v>65.900000000000006</v>
          </cell>
          <cell r="J12">
            <v>82.6</v>
          </cell>
          <cell r="K12">
            <v>80.3</v>
          </cell>
        </row>
      </sheetData>
      <sheetData sheetId="2">
        <row r="1">
          <cell r="A1" t="str">
            <v>CIGNITI TECHNOLOGIES LTD</v>
          </cell>
        </row>
        <row r="4">
          <cell r="B4">
            <v>25.5</v>
          </cell>
          <cell r="C4">
            <v>26.51</v>
          </cell>
          <cell r="D4">
            <v>27.25</v>
          </cell>
          <cell r="E4">
            <v>27.66</v>
          </cell>
          <cell r="F4">
            <v>27.85</v>
          </cell>
          <cell r="G4">
            <v>28.02</v>
          </cell>
          <cell r="H4">
            <v>28.05</v>
          </cell>
          <cell r="I4">
            <v>27.26</v>
          </cell>
          <cell r="J4">
            <v>27.3</v>
          </cell>
          <cell r="K4">
            <v>27.4</v>
          </cell>
        </row>
        <row r="5">
          <cell r="B5">
            <v>334.12</v>
          </cell>
          <cell r="C5">
            <v>-67.319999999999993</v>
          </cell>
          <cell r="D5">
            <v>-20.37</v>
          </cell>
          <cell r="E5">
            <v>123.08</v>
          </cell>
          <cell r="F5">
            <v>239.39</v>
          </cell>
          <cell r="G5">
            <v>344.33</v>
          </cell>
          <cell r="H5">
            <v>431.79</v>
          </cell>
          <cell r="I5">
            <v>562.09</v>
          </cell>
          <cell r="J5">
            <v>710.77</v>
          </cell>
          <cell r="K5">
            <v>935.84</v>
          </cell>
        </row>
        <row r="17">
          <cell r="B17">
            <v>175.82</v>
          </cell>
          <cell r="C17">
            <v>103.49</v>
          </cell>
          <cell r="D17">
            <v>114.68</v>
          </cell>
          <cell r="E17">
            <v>123.69</v>
          </cell>
          <cell r="F17">
            <v>164.41</v>
          </cell>
          <cell r="G17">
            <v>157.72</v>
          </cell>
          <cell r="H17">
            <v>226.78</v>
          </cell>
          <cell r="I17">
            <v>255.15</v>
          </cell>
          <cell r="J17">
            <v>318.64</v>
          </cell>
          <cell r="K17">
            <v>408.86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</sheetData>
      <sheetData sheetId="3"/>
      <sheetData sheetId="4"/>
      <sheetData sheetId="5">
        <row r="1">
          <cell r="B1" t="str">
            <v>CIGNITI TECHNOLOGIES LTD</v>
          </cell>
          <cell r="E1" t="str">
            <v/>
          </cell>
        </row>
        <row r="6">
          <cell r="B6">
            <v>2.7546933269856382</v>
          </cell>
        </row>
        <row r="8">
          <cell r="B8">
            <v>1260.3</v>
          </cell>
        </row>
        <row r="16">
          <cell r="B16">
            <v>42460</v>
          </cell>
          <cell r="C16">
            <v>42825</v>
          </cell>
          <cell r="D16">
            <v>43190</v>
          </cell>
          <cell r="E16">
            <v>43555</v>
          </cell>
          <cell r="F16">
            <v>43921</v>
          </cell>
          <cell r="G16">
            <v>44286</v>
          </cell>
          <cell r="H16">
            <v>44651</v>
          </cell>
          <cell r="I16">
            <v>45016</v>
          </cell>
          <cell r="J16">
            <v>45382</v>
          </cell>
          <cell r="K16">
            <v>45747</v>
          </cell>
        </row>
        <row r="17">
          <cell r="B17">
            <v>594.84</v>
          </cell>
          <cell r="C17">
            <v>619.26</v>
          </cell>
          <cell r="D17">
            <v>693.28</v>
          </cell>
          <cell r="E17">
            <v>816.08</v>
          </cell>
          <cell r="F17">
            <v>871.97</v>
          </cell>
          <cell r="G17">
            <v>896.53</v>
          </cell>
          <cell r="H17">
            <v>1241.8</v>
          </cell>
          <cell r="I17">
            <v>1647.58</v>
          </cell>
          <cell r="J17">
            <v>1815.01</v>
          </cell>
          <cell r="K17">
            <v>2014.34</v>
          </cell>
        </row>
        <row r="20">
          <cell r="B20">
            <v>0.02</v>
          </cell>
          <cell r="C20">
            <v>5.86</v>
          </cell>
          <cell r="D20">
            <v>4.92</v>
          </cell>
          <cell r="E20">
            <v>4.0599999999999996</v>
          </cell>
          <cell r="F20">
            <v>3.87</v>
          </cell>
          <cell r="G20">
            <v>3.19</v>
          </cell>
          <cell r="H20">
            <v>3.24</v>
          </cell>
          <cell r="I20">
            <v>4.72</v>
          </cell>
          <cell r="J20">
            <v>5.87</v>
          </cell>
          <cell r="K20">
            <v>6.99</v>
          </cell>
        </row>
        <row r="21">
          <cell r="B21">
            <v>5.15</v>
          </cell>
          <cell r="C21">
            <v>9.59</v>
          </cell>
          <cell r="D21">
            <v>81.03</v>
          </cell>
          <cell r="E21">
            <v>111.61</v>
          </cell>
          <cell r="F21">
            <v>136.91999999999999</v>
          </cell>
          <cell r="G21">
            <v>166.35</v>
          </cell>
          <cell r="H21">
            <v>266.20999999999998</v>
          </cell>
          <cell r="I21">
            <v>333.92</v>
          </cell>
          <cell r="J21">
            <v>313.17</v>
          </cell>
          <cell r="K21">
            <v>333.59</v>
          </cell>
        </row>
        <row r="22">
          <cell r="B22">
            <v>393.71</v>
          </cell>
          <cell r="C22">
            <v>451.33</v>
          </cell>
          <cell r="D22">
            <v>470.1</v>
          </cell>
          <cell r="E22">
            <v>475.36</v>
          </cell>
          <cell r="F22">
            <v>518.96</v>
          </cell>
          <cell r="G22">
            <v>521.58000000000004</v>
          </cell>
          <cell r="H22">
            <v>739.27</v>
          </cell>
          <cell r="I22">
            <v>964.46</v>
          </cell>
          <cell r="J22">
            <v>1124.18</v>
          </cell>
          <cell r="K22">
            <v>1218.1600000000001</v>
          </cell>
        </row>
        <row r="23">
          <cell r="B23">
            <v>93.94</v>
          </cell>
          <cell r="C23">
            <v>168.65</v>
          </cell>
          <cell r="D23">
            <v>77.36</v>
          </cell>
          <cell r="E23">
            <v>84.66</v>
          </cell>
          <cell r="F23">
            <v>81.92</v>
          </cell>
          <cell r="G23">
            <v>58.63</v>
          </cell>
          <cell r="H23">
            <v>100.4</v>
          </cell>
          <cell r="I23">
            <v>101.79</v>
          </cell>
          <cell r="J23">
            <v>144.72999999999999</v>
          </cell>
          <cell r="K23">
            <v>162.52000000000001</v>
          </cell>
        </row>
        <row r="24">
          <cell r="B24">
            <v>4.08</v>
          </cell>
          <cell r="C24">
            <v>5.7</v>
          </cell>
          <cell r="D24">
            <v>7.82</v>
          </cell>
          <cell r="E24">
            <v>7.62</v>
          </cell>
          <cell r="F24">
            <v>1.61</v>
          </cell>
          <cell r="G24">
            <v>1.31</v>
          </cell>
          <cell r="H24">
            <v>3.4</v>
          </cell>
          <cell r="I24">
            <v>4.99</v>
          </cell>
          <cell r="J24">
            <v>5.31</v>
          </cell>
          <cell r="K24">
            <v>4.05</v>
          </cell>
        </row>
        <row r="25">
          <cell r="B25">
            <v>3.41</v>
          </cell>
          <cell r="C25">
            <v>-332.04</v>
          </cell>
          <cell r="D25">
            <v>0.57999999999999996</v>
          </cell>
          <cell r="E25">
            <v>27.25</v>
          </cell>
          <cell r="F25">
            <v>21.63</v>
          </cell>
          <cell r="G25">
            <v>13.45</v>
          </cell>
          <cell r="H25">
            <v>13.44</v>
          </cell>
          <cell r="I25">
            <v>14.72</v>
          </cell>
          <cell r="J25">
            <v>33.08</v>
          </cell>
          <cell r="K25">
            <v>20.170000000000002</v>
          </cell>
        </row>
        <row r="26">
          <cell r="B26">
            <v>11.29</v>
          </cell>
          <cell r="C26">
            <v>16.96</v>
          </cell>
          <cell r="D26">
            <v>2.71</v>
          </cell>
          <cell r="E26">
            <v>3.15</v>
          </cell>
          <cell r="F26">
            <v>11.48</v>
          </cell>
          <cell r="G26">
            <v>12.27</v>
          </cell>
          <cell r="H26">
            <v>16.16</v>
          </cell>
          <cell r="I26">
            <v>26.38</v>
          </cell>
          <cell r="J26">
            <v>30.33</v>
          </cell>
          <cell r="K26">
            <v>34.18</v>
          </cell>
        </row>
        <row r="27">
          <cell r="B27">
            <v>6.03</v>
          </cell>
          <cell r="C27">
            <v>16.100000000000001</v>
          </cell>
          <cell r="D27">
            <v>16.98</v>
          </cell>
          <cell r="E27">
            <v>14.64</v>
          </cell>
          <cell r="F27">
            <v>8</v>
          </cell>
          <cell r="G27">
            <v>5.59</v>
          </cell>
          <cell r="H27">
            <v>5.05</v>
          </cell>
          <cell r="I27">
            <v>4.4000000000000004</v>
          </cell>
          <cell r="J27">
            <v>4.12</v>
          </cell>
          <cell r="K27">
            <v>2.98</v>
          </cell>
        </row>
        <row r="28">
          <cell r="B28">
            <v>84.03</v>
          </cell>
          <cell r="C28">
            <v>-386.97</v>
          </cell>
          <cell r="D28">
            <v>32.94</v>
          </cell>
          <cell r="E28">
            <v>142.22999999999999</v>
          </cell>
          <cell r="F28">
            <v>130.84</v>
          </cell>
          <cell r="G28">
            <v>141.06</v>
          </cell>
          <cell r="H28">
            <v>121.51</v>
          </cell>
          <cell r="I28">
            <v>221.64</v>
          </cell>
          <cell r="J28">
            <v>220.38</v>
          </cell>
          <cell r="K28">
            <v>272.04000000000002</v>
          </cell>
        </row>
        <row r="29">
          <cell r="B29">
            <v>34.35</v>
          </cell>
          <cell r="C29">
            <v>7.86</v>
          </cell>
          <cell r="D29">
            <v>0.77</v>
          </cell>
          <cell r="E29">
            <v>-5.13</v>
          </cell>
          <cell r="F29">
            <v>9.24</v>
          </cell>
          <cell r="G29">
            <v>35.71</v>
          </cell>
          <cell r="H29">
            <v>29.78</v>
          </cell>
          <cell r="I29">
            <v>53.32</v>
          </cell>
          <cell r="J29">
            <v>54.79</v>
          </cell>
          <cell r="K29">
            <v>71.86</v>
          </cell>
        </row>
        <row r="30">
          <cell r="B30">
            <v>49.68</v>
          </cell>
          <cell r="C30">
            <v>-394.83</v>
          </cell>
          <cell r="D30">
            <v>32.17</v>
          </cell>
          <cell r="E30">
            <v>147.36000000000001</v>
          </cell>
          <cell r="F30">
            <v>121.6</v>
          </cell>
          <cell r="G30">
            <v>105.35</v>
          </cell>
          <cell r="H30">
            <v>91.74</v>
          </cell>
          <cell r="I30">
            <v>168.32</v>
          </cell>
          <cell r="J30">
            <v>165.59</v>
          </cell>
          <cell r="K30">
            <v>200.17</v>
          </cell>
        </row>
        <row r="31">
          <cell r="G31">
            <v>7</v>
          </cell>
          <cell r="H31">
            <v>7.01</v>
          </cell>
          <cell r="I31">
            <v>14.99</v>
          </cell>
          <cell r="J31">
            <v>8.19</v>
          </cell>
        </row>
        <row r="56">
          <cell r="B56">
            <v>42460</v>
          </cell>
          <cell r="C56">
            <v>42825</v>
          </cell>
          <cell r="D56">
            <v>43190</v>
          </cell>
          <cell r="E56">
            <v>43555</v>
          </cell>
          <cell r="F56">
            <v>43921</v>
          </cell>
          <cell r="G56">
            <v>44286</v>
          </cell>
          <cell r="H56">
            <v>44651</v>
          </cell>
          <cell r="I56">
            <v>45016</v>
          </cell>
          <cell r="J56">
            <v>45382</v>
          </cell>
          <cell r="K56">
            <v>45747</v>
          </cell>
        </row>
        <row r="57">
          <cell r="B57">
            <v>25.5</v>
          </cell>
          <cell r="C57">
            <v>26.51</v>
          </cell>
          <cell r="D57">
            <v>27.25</v>
          </cell>
          <cell r="E57">
            <v>27.66</v>
          </cell>
          <cell r="F57">
            <v>27.85</v>
          </cell>
          <cell r="G57">
            <v>28.02</v>
          </cell>
          <cell r="H57">
            <v>28.05</v>
          </cell>
          <cell r="I57">
            <v>27.26</v>
          </cell>
          <cell r="J57">
            <v>27.3</v>
          </cell>
          <cell r="K57">
            <v>27.4</v>
          </cell>
        </row>
        <row r="58">
          <cell r="B58">
            <v>334.12</v>
          </cell>
          <cell r="C58">
            <v>-67.319999999999993</v>
          </cell>
          <cell r="D58">
            <v>-20.37</v>
          </cell>
          <cell r="E58">
            <v>123.08</v>
          </cell>
          <cell r="F58">
            <v>239.39</v>
          </cell>
          <cell r="G58">
            <v>344.33</v>
          </cell>
          <cell r="H58">
            <v>431.79</v>
          </cell>
          <cell r="I58">
            <v>562.09</v>
          </cell>
          <cell r="J58">
            <v>710.77</v>
          </cell>
          <cell r="K58">
            <v>935.84</v>
          </cell>
        </row>
        <row r="59">
          <cell r="B59">
            <v>127.04</v>
          </cell>
          <cell r="C59">
            <v>143.85</v>
          </cell>
          <cell r="D59">
            <v>131.38999999999999</v>
          </cell>
          <cell r="E59">
            <v>73.680000000000007</v>
          </cell>
          <cell r="F59">
            <v>121.47</v>
          </cell>
          <cell r="G59">
            <v>45.67</v>
          </cell>
          <cell r="H59">
            <v>80.040000000000006</v>
          </cell>
          <cell r="I59">
            <v>55.77</v>
          </cell>
          <cell r="J59">
            <v>57.23</v>
          </cell>
          <cell r="K59">
            <v>27.94</v>
          </cell>
        </row>
        <row r="60">
          <cell r="B60">
            <v>149.26</v>
          </cell>
          <cell r="C60">
            <v>124.87</v>
          </cell>
          <cell r="D60">
            <v>99.77</v>
          </cell>
          <cell r="E60">
            <v>83.09</v>
          </cell>
          <cell r="F60">
            <v>91.2</v>
          </cell>
          <cell r="G60">
            <v>114.08</v>
          </cell>
          <cell r="H60">
            <v>157.86000000000001</v>
          </cell>
          <cell r="I60">
            <v>200.88</v>
          </cell>
          <cell r="J60">
            <v>210.57</v>
          </cell>
          <cell r="K60">
            <v>248</v>
          </cell>
        </row>
        <row r="61">
          <cell r="B61">
            <v>635.91999999999996</v>
          </cell>
          <cell r="C61">
            <v>227.91</v>
          </cell>
          <cell r="D61">
            <v>238.04</v>
          </cell>
          <cell r="E61">
            <v>307.51</v>
          </cell>
          <cell r="F61">
            <v>479.91</v>
          </cell>
          <cell r="G61">
            <v>532.1</v>
          </cell>
          <cell r="H61">
            <v>697.74</v>
          </cell>
          <cell r="I61">
            <v>846</v>
          </cell>
          <cell r="J61">
            <v>1005.87</v>
          </cell>
          <cell r="K61">
            <v>1239.18</v>
          </cell>
        </row>
        <row r="62">
          <cell r="B62">
            <v>141.4</v>
          </cell>
          <cell r="C62">
            <v>63.7</v>
          </cell>
          <cell r="D62">
            <v>61.72</v>
          </cell>
          <cell r="E62">
            <v>68.48</v>
          </cell>
          <cell r="F62">
            <v>101.96</v>
          </cell>
          <cell r="G62">
            <v>93.23</v>
          </cell>
          <cell r="H62">
            <v>112.95</v>
          </cell>
          <cell r="I62">
            <v>135.27000000000001</v>
          </cell>
          <cell r="J62">
            <v>121.28</v>
          </cell>
          <cell r="K62">
            <v>120.63</v>
          </cell>
        </row>
        <row r="63">
          <cell r="B63">
            <v>64.34</v>
          </cell>
        </row>
        <row r="64">
          <cell r="F64">
            <v>48.89</v>
          </cell>
          <cell r="G64">
            <v>80.459999999999994</v>
          </cell>
          <cell r="H64">
            <v>120.13</v>
          </cell>
          <cell r="I64">
            <v>177.28</v>
          </cell>
          <cell r="J64">
            <v>249.89</v>
          </cell>
          <cell r="K64">
            <v>145.74</v>
          </cell>
        </row>
        <row r="65">
          <cell r="B65">
            <v>430.18</v>
          </cell>
          <cell r="C65">
            <v>164.21</v>
          </cell>
          <cell r="D65">
            <v>176.32</v>
          </cell>
          <cell r="E65">
            <v>239.03</v>
          </cell>
          <cell r="F65">
            <v>329.06</v>
          </cell>
          <cell r="G65">
            <v>358.41</v>
          </cell>
          <cell r="H65">
            <v>464.66</v>
          </cell>
          <cell r="I65">
            <v>533.45000000000005</v>
          </cell>
          <cell r="J65">
            <v>634.70000000000005</v>
          </cell>
          <cell r="K65">
            <v>972.81</v>
          </cell>
        </row>
        <row r="66">
          <cell r="B66">
            <v>635.91999999999996</v>
          </cell>
          <cell r="C66">
            <v>227.91</v>
          </cell>
          <cell r="D66">
            <v>238.04</v>
          </cell>
          <cell r="E66">
            <v>307.51</v>
          </cell>
          <cell r="F66">
            <v>479.91</v>
          </cell>
          <cell r="G66">
            <v>532.1</v>
          </cell>
          <cell r="H66">
            <v>697.74</v>
          </cell>
          <cell r="I66">
            <v>846</v>
          </cell>
          <cell r="J66">
            <v>1005.87</v>
          </cell>
          <cell r="K66">
            <v>1239.18</v>
          </cell>
        </row>
        <row r="67">
          <cell r="B67">
            <v>175.82</v>
          </cell>
          <cell r="C67">
            <v>103.49</v>
          </cell>
          <cell r="D67">
            <v>114.68</v>
          </cell>
          <cell r="E67">
            <v>123.69</v>
          </cell>
          <cell r="F67">
            <v>164.41</v>
          </cell>
          <cell r="G67">
            <v>157.72</v>
          </cell>
          <cell r="H67">
            <v>226.78</v>
          </cell>
          <cell r="I67">
            <v>255.15</v>
          </cell>
          <cell r="J67">
            <v>318.64</v>
          </cell>
          <cell r="K67">
            <v>408.86</v>
          </cell>
        </row>
        <row r="81">
          <cell r="B81">
            <v>42460</v>
          </cell>
          <cell r="C81">
            <v>42825</v>
          </cell>
          <cell r="D81">
            <v>43190</v>
          </cell>
          <cell r="E81">
            <v>43555</v>
          </cell>
          <cell r="F81">
            <v>43921</v>
          </cell>
          <cell r="G81">
            <v>44286</v>
          </cell>
          <cell r="H81">
            <v>44651</v>
          </cell>
          <cell r="I81">
            <v>45016</v>
          </cell>
          <cell r="J81">
            <v>45382</v>
          </cell>
          <cell r="K81">
            <v>45747</v>
          </cell>
        </row>
        <row r="82">
          <cell r="B82">
            <v>115.3</v>
          </cell>
          <cell r="C82">
            <v>-48.28</v>
          </cell>
          <cell r="D82">
            <v>34.96</v>
          </cell>
          <cell r="E82">
            <v>126.99</v>
          </cell>
          <cell r="F82">
            <v>86.6</v>
          </cell>
          <cell r="G82">
            <v>144.86000000000001</v>
          </cell>
          <cell r="H82">
            <v>38.21</v>
          </cell>
          <cell r="I82">
            <v>157.16999999999999</v>
          </cell>
          <cell r="J82">
            <v>129.41999999999999</v>
          </cell>
          <cell r="K82">
            <v>159.9</v>
          </cell>
        </row>
        <row r="83">
          <cell r="B83">
            <v>-197.42</v>
          </cell>
          <cell r="C83">
            <v>-5.81</v>
          </cell>
          <cell r="D83">
            <v>-4.8600000000000003</v>
          </cell>
          <cell r="E83">
            <v>-6.03</v>
          </cell>
          <cell r="F83">
            <v>-136.76</v>
          </cell>
          <cell r="G83">
            <v>-46.56</v>
          </cell>
          <cell r="H83">
            <v>-50.03</v>
          </cell>
          <cell r="I83">
            <v>-53.08</v>
          </cell>
          <cell r="J83">
            <v>-34.24</v>
          </cell>
          <cell r="K83">
            <v>-12</v>
          </cell>
        </row>
        <row r="84">
          <cell r="B84">
            <v>52.21</v>
          </cell>
          <cell r="C84">
            <v>52.97</v>
          </cell>
          <cell r="D84">
            <v>-28.8</v>
          </cell>
          <cell r="E84">
            <v>-134.63</v>
          </cell>
          <cell r="F84">
            <v>-12.58</v>
          </cell>
          <cell r="G84">
            <v>-14.34</v>
          </cell>
          <cell r="H84">
            <v>-19.66</v>
          </cell>
          <cell r="I84">
            <v>-68.760000000000005</v>
          </cell>
          <cell r="J84">
            <v>-39.5</v>
          </cell>
          <cell r="K84">
            <v>-17.579999999999998</v>
          </cell>
        </row>
        <row r="85">
          <cell r="B85">
            <v>-29.92</v>
          </cell>
          <cell r="C85">
            <v>-1.1200000000000001</v>
          </cell>
          <cell r="D85">
            <v>1.3</v>
          </cell>
          <cell r="E85">
            <v>-13.68</v>
          </cell>
          <cell r="F85">
            <v>-62.74</v>
          </cell>
          <cell r="G85">
            <v>83.96</v>
          </cell>
          <cell r="H85">
            <v>-31.48</v>
          </cell>
          <cell r="I85">
            <v>35.33</v>
          </cell>
          <cell r="J85">
            <v>55.68</v>
          </cell>
          <cell r="K85">
            <v>130.32</v>
          </cell>
        </row>
        <row r="90">
          <cell r="B90">
            <v>419.3</v>
          </cell>
          <cell r="C90">
            <v>384.1</v>
          </cell>
          <cell r="D90">
            <v>240</v>
          </cell>
          <cell r="E90">
            <v>325.14999999999998</v>
          </cell>
          <cell r="F90">
            <v>189.05</v>
          </cell>
          <cell r="G90">
            <v>315</v>
          </cell>
          <cell r="H90">
            <v>429.75</v>
          </cell>
          <cell r="I90">
            <v>746</v>
          </cell>
          <cell r="J90">
            <v>1265.8499999999999</v>
          </cell>
          <cell r="K90">
            <v>1464.15</v>
          </cell>
        </row>
        <row r="93">
          <cell r="B93">
            <v>2.5499999999999998</v>
          </cell>
          <cell r="C93">
            <v>2.65</v>
          </cell>
          <cell r="D93">
            <v>2.65</v>
          </cell>
          <cell r="E93">
            <v>2.75</v>
          </cell>
          <cell r="F93">
            <v>2.78</v>
          </cell>
          <cell r="G93">
            <v>2.8</v>
          </cell>
          <cell r="H93">
            <v>2.81</v>
          </cell>
          <cell r="I93">
            <v>2.81</v>
          </cell>
          <cell r="J93">
            <v>2.73</v>
          </cell>
          <cell r="K93">
            <v>2.74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5A4480-FAA7-4F59-904D-185B5D9E94C5}" name="Annual" displayName="Annual" ref="A3:N19" headerRowCount="0" totalsRowShown="0" headerRowDxfId="17">
  <tableColumns count="14">
    <tableColumn id="1" xr3:uid="{B8A28A86-6628-46A3-A6C4-B469C6A8B5D8}" name="Column1" headerRowDxfId="16" dataDxfId="15"/>
    <tableColumn id="2" xr3:uid="{6C4D2413-E657-4F04-A70A-57DC2C472186}" name="Column2" headerRowDxfId="14"/>
    <tableColumn id="3" xr3:uid="{53876845-9C58-4026-AED7-20BB125DA324}" name="Column3" headerRowDxfId="13"/>
    <tableColumn id="4" xr3:uid="{7ADB7AF7-006A-4621-A691-F608805F67E1}" name="Column4" headerRowDxfId="12"/>
    <tableColumn id="5" xr3:uid="{CE8BE47E-7286-401F-8D80-9EF3E9114926}" name="Column5" headerRowDxfId="11"/>
    <tableColumn id="6" xr3:uid="{B4AE739F-50F8-4BD2-8849-31E18367B0A3}" name="Column6" headerRowDxfId="10"/>
    <tableColumn id="7" xr3:uid="{7DC7222B-C3EF-481F-BEA5-7399D6FCAC44}" name="Column7" headerRowDxfId="9"/>
    <tableColumn id="8" xr3:uid="{0B6F03DE-C962-403F-9109-DEEA8A18267A}" name="Column8" headerRowDxfId="8"/>
    <tableColumn id="9" xr3:uid="{C2093959-8D63-4739-8FC0-80ECBCEFED6B}" name="Column9" headerRowDxfId="7"/>
    <tableColumn id="10" xr3:uid="{46F91C0F-FF8A-48AD-8134-748D55A6E100}" name="Column10" headerRowDxfId="6"/>
    <tableColumn id="11" xr3:uid="{028DAB99-C631-46B8-AA1D-52894C5CE2AE}" name="Column11" headerRowDxfId="5"/>
    <tableColumn id="12" xr3:uid="{5F148ACF-CEA7-489F-B650-F56E655B6A67}" name="Column12" headerRowDxfId="4"/>
    <tableColumn id="13" xr3:uid="{741E84F0-DE9A-42C5-AE8D-CEE9323176F4}" name="Column13" headerRowDxfId="3" dataDxfId="2"/>
    <tableColumn id="14" xr3:uid="{D097FAF2-E494-48DF-B266-C42869AD4CF4}" name="Column14" headerRowDxfId="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workbookViewId="0">
      <selection sqref="A1:XFD1048576"/>
    </sheetView>
  </sheetViews>
  <sheetFormatPr defaultColWidth="8.81640625" defaultRowHeight="14.5" x14ac:dyDescent="0.35"/>
  <cols>
    <col min="1" max="1" width="22.81640625" bestFit="1" customWidth="1"/>
    <col min="2" max="2" width="13.453125" customWidth="1"/>
    <col min="3" max="11" width="15.453125" customWidth="1"/>
  </cols>
  <sheetData>
    <row r="1" spans="1:11" s="1" customFormat="1" x14ac:dyDescent="0.35">
      <c r="A1" s="1" t="str">
        <f>'[1]Profit &amp; Loss'!A1</f>
        <v>CIGNITI TECHNOLOGIES LTD</v>
      </c>
      <c r="E1" t="str">
        <f>UPDATE</f>
        <v/>
      </c>
      <c r="G1"/>
      <c r="J1" s="1" t="s">
        <v>0</v>
      </c>
    </row>
    <row r="2" spans="1:11" x14ac:dyDescent="0.35">
      <c r="G2" s="1"/>
      <c r="H2" s="1"/>
    </row>
    <row r="3" spans="1:11" x14ac:dyDescent="0.35">
      <c r="A3" s="2" t="s">
        <v>1</v>
      </c>
      <c r="B3" s="3">
        <f>'[1]Data Sheet'!B56</f>
        <v>42460</v>
      </c>
      <c r="C3" s="3">
        <f>'[1]Data Sheet'!C56</f>
        <v>42825</v>
      </c>
      <c r="D3" s="3">
        <f>'[1]Data Sheet'!D56</f>
        <v>43190</v>
      </c>
      <c r="E3" s="3">
        <f>'[1]Data Sheet'!E56</f>
        <v>43555</v>
      </c>
      <c r="F3" s="3">
        <f>'[1]Data Sheet'!F56</f>
        <v>43921</v>
      </c>
      <c r="G3" s="3">
        <f>'[1]Data Sheet'!G56</f>
        <v>44286</v>
      </c>
      <c r="H3" s="3">
        <f>'[1]Data Sheet'!H56</f>
        <v>44651</v>
      </c>
      <c r="I3" s="3">
        <f>'[1]Data Sheet'!I56</f>
        <v>45016</v>
      </c>
      <c r="J3" s="3">
        <f>'[1]Data Sheet'!J56</f>
        <v>45382</v>
      </c>
      <c r="K3" s="3">
        <f>'[1]Data Sheet'!K56</f>
        <v>45747</v>
      </c>
    </row>
    <row r="4" spans="1:11" x14ac:dyDescent="0.35">
      <c r="A4" t="s">
        <v>2</v>
      </c>
      <c r="B4" s="4">
        <f>'[1]Data Sheet'!B57</f>
        <v>25.5</v>
      </c>
      <c r="C4" s="4">
        <f>'[1]Data Sheet'!C57</f>
        <v>26.51</v>
      </c>
      <c r="D4" s="4">
        <f>'[1]Data Sheet'!D57</f>
        <v>27.25</v>
      </c>
      <c r="E4" s="4">
        <f>'[1]Data Sheet'!E57</f>
        <v>27.66</v>
      </c>
      <c r="F4" s="4">
        <f>'[1]Data Sheet'!F57</f>
        <v>27.85</v>
      </c>
      <c r="G4" s="4">
        <f>'[1]Data Sheet'!G57</f>
        <v>28.02</v>
      </c>
      <c r="H4" s="4">
        <f>'[1]Data Sheet'!H57</f>
        <v>28.05</v>
      </c>
      <c r="I4" s="4">
        <f>'[1]Data Sheet'!I57</f>
        <v>27.26</v>
      </c>
      <c r="J4" s="4">
        <f>'[1]Data Sheet'!J57</f>
        <v>27.3</v>
      </c>
      <c r="K4" s="4">
        <f>'[1]Data Sheet'!K57</f>
        <v>27.4</v>
      </c>
    </row>
    <row r="5" spans="1:11" x14ac:dyDescent="0.35">
      <c r="A5" t="s">
        <v>3</v>
      </c>
      <c r="B5" s="4">
        <f>'[1]Data Sheet'!B58</f>
        <v>334.12</v>
      </c>
      <c r="C5" s="4">
        <f>'[1]Data Sheet'!C58</f>
        <v>-67.319999999999993</v>
      </c>
      <c r="D5" s="4">
        <f>'[1]Data Sheet'!D58</f>
        <v>-20.37</v>
      </c>
      <c r="E5" s="4">
        <f>'[1]Data Sheet'!E58</f>
        <v>123.08</v>
      </c>
      <c r="F5" s="4">
        <f>'[1]Data Sheet'!F58</f>
        <v>239.39</v>
      </c>
      <c r="G5" s="4">
        <f>'[1]Data Sheet'!G58</f>
        <v>344.33</v>
      </c>
      <c r="H5" s="4">
        <f>'[1]Data Sheet'!H58</f>
        <v>431.79</v>
      </c>
      <c r="I5" s="4">
        <f>'[1]Data Sheet'!I58</f>
        <v>562.09</v>
      </c>
      <c r="J5" s="4">
        <f>'[1]Data Sheet'!J58</f>
        <v>710.77</v>
      </c>
      <c r="K5" s="4">
        <f>'[1]Data Sheet'!K58</f>
        <v>935.84</v>
      </c>
    </row>
    <row r="6" spans="1:11" x14ac:dyDescent="0.35">
      <c r="A6" t="s">
        <v>4</v>
      </c>
      <c r="B6" s="4">
        <f>'[1]Data Sheet'!B59</f>
        <v>127.04</v>
      </c>
      <c r="C6" s="4">
        <f>'[1]Data Sheet'!C59</f>
        <v>143.85</v>
      </c>
      <c r="D6" s="4">
        <f>'[1]Data Sheet'!D59</f>
        <v>131.38999999999999</v>
      </c>
      <c r="E6" s="4">
        <f>'[1]Data Sheet'!E59</f>
        <v>73.680000000000007</v>
      </c>
      <c r="F6" s="4">
        <f>'[1]Data Sheet'!F59</f>
        <v>121.47</v>
      </c>
      <c r="G6" s="4">
        <f>'[1]Data Sheet'!G59</f>
        <v>45.67</v>
      </c>
      <c r="H6" s="4">
        <f>'[1]Data Sheet'!H59</f>
        <v>80.040000000000006</v>
      </c>
      <c r="I6" s="4">
        <f>'[1]Data Sheet'!I59</f>
        <v>55.77</v>
      </c>
      <c r="J6" s="4">
        <f>'[1]Data Sheet'!J59</f>
        <v>57.23</v>
      </c>
      <c r="K6" s="4">
        <f>'[1]Data Sheet'!K59</f>
        <v>27.94</v>
      </c>
    </row>
    <row r="7" spans="1:11" x14ac:dyDescent="0.35">
      <c r="A7" t="s">
        <v>5</v>
      </c>
      <c r="B7" s="4">
        <f>'[1]Data Sheet'!B60</f>
        <v>149.26</v>
      </c>
      <c r="C7" s="4">
        <f>'[1]Data Sheet'!C60</f>
        <v>124.87</v>
      </c>
      <c r="D7" s="4">
        <f>'[1]Data Sheet'!D60</f>
        <v>99.77</v>
      </c>
      <c r="E7" s="4">
        <f>'[1]Data Sheet'!E60</f>
        <v>83.09</v>
      </c>
      <c r="F7" s="4">
        <f>'[1]Data Sheet'!F60</f>
        <v>91.2</v>
      </c>
      <c r="G7" s="4">
        <f>'[1]Data Sheet'!G60</f>
        <v>114.08</v>
      </c>
      <c r="H7" s="4">
        <f>'[1]Data Sheet'!H60</f>
        <v>157.86000000000001</v>
      </c>
      <c r="I7" s="4">
        <f>'[1]Data Sheet'!I60</f>
        <v>200.88</v>
      </c>
      <c r="J7" s="4">
        <f>'[1]Data Sheet'!J60</f>
        <v>210.57</v>
      </c>
      <c r="K7" s="4">
        <f>'[1]Data Sheet'!K60</f>
        <v>248</v>
      </c>
    </row>
    <row r="8" spans="1:11" s="1" customFormat="1" x14ac:dyDescent="0.35">
      <c r="A8" s="1" t="s">
        <v>6</v>
      </c>
      <c r="B8" s="5">
        <f>'[1]Data Sheet'!B61</f>
        <v>635.91999999999996</v>
      </c>
      <c r="C8" s="5">
        <f>'[1]Data Sheet'!C61</f>
        <v>227.91</v>
      </c>
      <c r="D8" s="5">
        <f>'[1]Data Sheet'!D61</f>
        <v>238.04</v>
      </c>
      <c r="E8" s="5">
        <f>'[1]Data Sheet'!E61</f>
        <v>307.51</v>
      </c>
      <c r="F8" s="5">
        <f>'[1]Data Sheet'!F61</f>
        <v>479.91</v>
      </c>
      <c r="G8" s="5">
        <f>'[1]Data Sheet'!G61</f>
        <v>532.1</v>
      </c>
      <c r="H8" s="5">
        <f>'[1]Data Sheet'!H61</f>
        <v>697.74</v>
      </c>
      <c r="I8" s="5">
        <f>'[1]Data Sheet'!I61</f>
        <v>846</v>
      </c>
      <c r="J8" s="5">
        <f>'[1]Data Sheet'!J61</f>
        <v>1005.87</v>
      </c>
      <c r="K8" s="5">
        <f>'[1]Data Sheet'!K61</f>
        <v>1239.18</v>
      </c>
    </row>
    <row r="9" spans="1:11" s="1" customFormat="1" x14ac:dyDescent="0.35"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x14ac:dyDescent="0.35">
      <c r="A10" t="s">
        <v>7</v>
      </c>
      <c r="B10" s="4">
        <f>'[1]Data Sheet'!B62</f>
        <v>141.4</v>
      </c>
      <c r="C10" s="4">
        <f>'[1]Data Sheet'!C62</f>
        <v>63.7</v>
      </c>
      <c r="D10" s="4">
        <f>'[1]Data Sheet'!D62</f>
        <v>61.72</v>
      </c>
      <c r="E10" s="4">
        <f>'[1]Data Sheet'!E62</f>
        <v>68.48</v>
      </c>
      <c r="F10" s="4">
        <f>'[1]Data Sheet'!F62</f>
        <v>101.96</v>
      </c>
      <c r="G10" s="4">
        <f>'[1]Data Sheet'!G62</f>
        <v>93.23</v>
      </c>
      <c r="H10" s="4">
        <f>'[1]Data Sheet'!H62</f>
        <v>112.95</v>
      </c>
      <c r="I10" s="4">
        <f>'[1]Data Sheet'!I62</f>
        <v>135.27000000000001</v>
      </c>
      <c r="J10" s="4">
        <f>'[1]Data Sheet'!J62</f>
        <v>121.28</v>
      </c>
      <c r="K10" s="4">
        <f>'[1]Data Sheet'!K62</f>
        <v>120.63</v>
      </c>
    </row>
    <row r="11" spans="1:11" x14ac:dyDescent="0.35">
      <c r="A11" t="s">
        <v>8</v>
      </c>
      <c r="B11" s="4">
        <f>'[1]Data Sheet'!B63</f>
        <v>64.34</v>
      </c>
      <c r="C11" s="4">
        <f>'[1]Data Sheet'!C63</f>
        <v>0</v>
      </c>
      <c r="D11" s="4">
        <f>'[1]Data Sheet'!D63</f>
        <v>0</v>
      </c>
      <c r="E11" s="4">
        <f>'[1]Data Sheet'!E63</f>
        <v>0</v>
      </c>
      <c r="F11" s="4">
        <f>'[1]Data Sheet'!F63</f>
        <v>0</v>
      </c>
      <c r="G11" s="4">
        <f>'[1]Data Sheet'!G63</f>
        <v>0</v>
      </c>
      <c r="H11" s="4">
        <f>'[1]Data Sheet'!H63</f>
        <v>0</v>
      </c>
      <c r="I11" s="4">
        <f>'[1]Data Sheet'!I63</f>
        <v>0</v>
      </c>
      <c r="J11" s="4">
        <f>'[1]Data Sheet'!J63</f>
        <v>0</v>
      </c>
      <c r="K11" s="4">
        <f>'[1]Data Sheet'!K63</f>
        <v>0</v>
      </c>
    </row>
    <row r="12" spans="1:11" x14ac:dyDescent="0.35">
      <c r="A12" t="s">
        <v>9</v>
      </c>
      <c r="B12" s="4">
        <f>'[1]Data Sheet'!B64</f>
        <v>0</v>
      </c>
      <c r="C12" s="4">
        <f>'[1]Data Sheet'!C64</f>
        <v>0</v>
      </c>
      <c r="D12" s="4">
        <f>'[1]Data Sheet'!D64</f>
        <v>0</v>
      </c>
      <c r="E12" s="4">
        <f>'[1]Data Sheet'!E64</f>
        <v>0</v>
      </c>
      <c r="F12" s="4">
        <f>'[1]Data Sheet'!F64</f>
        <v>48.89</v>
      </c>
      <c r="G12" s="4">
        <f>'[1]Data Sheet'!G64</f>
        <v>80.459999999999994</v>
      </c>
      <c r="H12" s="4">
        <f>'[1]Data Sheet'!H64</f>
        <v>120.13</v>
      </c>
      <c r="I12" s="4">
        <f>'[1]Data Sheet'!I64</f>
        <v>177.28</v>
      </c>
      <c r="J12" s="4">
        <f>'[1]Data Sheet'!J64</f>
        <v>249.89</v>
      </c>
      <c r="K12" s="4">
        <f>'[1]Data Sheet'!K64</f>
        <v>145.74</v>
      </c>
    </row>
    <row r="13" spans="1:11" x14ac:dyDescent="0.35">
      <c r="A13" t="s">
        <v>10</v>
      </c>
      <c r="B13" s="4">
        <f>'[1]Data Sheet'!B65</f>
        <v>430.18</v>
      </c>
      <c r="C13" s="4">
        <f>'[1]Data Sheet'!C65</f>
        <v>164.21</v>
      </c>
      <c r="D13" s="4">
        <f>'[1]Data Sheet'!D65</f>
        <v>176.32</v>
      </c>
      <c r="E13" s="4">
        <f>'[1]Data Sheet'!E65</f>
        <v>239.03</v>
      </c>
      <c r="F13" s="4">
        <f>'[1]Data Sheet'!F65</f>
        <v>329.06</v>
      </c>
      <c r="G13" s="4">
        <f>'[1]Data Sheet'!G65</f>
        <v>358.41</v>
      </c>
      <c r="H13" s="4">
        <f>'[1]Data Sheet'!H65</f>
        <v>464.66</v>
      </c>
      <c r="I13" s="4">
        <f>'[1]Data Sheet'!I65</f>
        <v>533.45000000000005</v>
      </c>
      <c r="J13" s="4">
        <f>'[1]Data Sheet'!J65</f>
        <v>634.70000000000005</v>
      </c>
      <c r="K13" s="4">
        <f>'[1]Data Sheet'!K65</f>
        <v>972.81</v>
      </c>
    </row>
    <row r="14" spans="1:11" s="1" customFormat="1" x14ac:dyDescent="0.35">
      <c r="A14" s="1" t="s">
        <v>6</v>
      </c>
      <c r="B14" s="4">
        <f>'[1]Data Sheet'!B66</f>
        <v>635.91999999999996</v>
      </c>
      <c r="C14" s="4">
        <f>'[1]Data Sheet'!C66</f>
        <v>227.91</v>
      </c>
      <c r="D14" s="4">
        <f>'[1]Data Sheet'!D66</f>
        <v>238.04</v>
      </c>
      <c r="E14" s="4">
        <f>'[1]Data Sheet'!E66</f>
        <v>307.51</v>
      </c>
      <c r="F14" s="4">
        <f>'[1]Data Sheet'!F66</f>
        <v>479.91</v>
      </c>
      <c r="G14" s="4">
        <f>'[1]Data Sheet'!G66</f>
        <v>532.1</v>
      </c>
      <c r="H14" s="4">
        <f>'[1]Data Sheet'!H66</f>
        <v>697.74</v>
      </c>
      <c r="I14" s="4">
        <f>'[1]Data Sheet'!I66</f>
        <v>846</v>
      </c>
      <c r="J14" s="4">
        <f>'[1]Data Sheet'!J66</f>
        <v>1005.87</v>
      </c>
      <c r="K14" s="4">
        <f>'[1]Data Sheet'!K66</f>
        <v>1239.18</v>
      </c>
    </row>
    <row r="15" spans="1:11" x14ac:dyDescent="0.35"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x14ac:dyDescent="0.35">
      <c r="A16" t="s">
        <v>11</v>
      </c>
      <c r="B16" s="6">
        <f>B13-B7</f>
        <v>280.92</v>
      </c>
      <c r="C16" s="6">
        <f t="shared" ref="C16:K16" si="0">C13-C7</f>
        <v>39.340000000000003</v>
      </c>
      <c r="D16" s="6">
        <f t="shared" si="0"/>
        <v>76.55</v>
      </c>
      <c r="E16" s="6">
        <f t="shared" si="0"/>
        <v>155.94</v>
      </c>
      <c r="F16" s="6">
        <f t="shared" si="0"/>
        <v>237.86</v>
      </c>
      <c r="G16" s="6">
        <f t="shared" si="0"/>
        <v>244.33000000000004</v>
      </c>
      <c r="H16" s="6">
        <f t="shared" si="0"/>
        <v>306.8</v>
      </c>
      <c r="I16" s="6">
        <f t="shared" si="0"/>
        <v>332.57000000000005</v>
      </c>
      <c r="J16" s="6">
        <f t="shared" si="0"/>
        <v>424.13000000000005</v>
      </c>
      <c r="K16" s="6">
        <f t="shared" si="0"/>
        <v>724.81</v>
      </c>
    </row>
    <row r="17" spans="1:11" x14ac:dyDescent="0.35">
      <c r="A17" t="s">
        <v>12</v>
      </c>
      <c r="B17" s="6">
        <f>'[1]Data Sheet'!B67</f>
        <v>175.82</v>
      </c>
      <c r="C17" s="6">
        <f>'[1]Data Sheet'!C67</f>
        <v>103.49</v>
      </c>
      <c r="D17" s="6">
        <f>'[1]Data Sheet'!D67</f>
        <v>114.68</v>
      </c>
      <c r="E17" s="6">
        <f>'[1]Data Sheet'!E67</f>
        <v>123.69</v>
      </c>
      <c r="F17" s="6">
        <f>'[1]Data Sheet'!F67</f>
        <v>164.41</v>
      </c>
      <c r="G17" s="6">
        <f>'[1]Data Sheet'!G67</f>
        <v>157.72</v>
      </c>
      <c r="H17" s="6">
        <f>'[1]Data Sheet'!H67</f>
        <v>226.78</v>
      </c>
      <c r="I17" s="6">
        <f>'[1]Data Sheet'!I67</f>
        <v>255.15</v>
      </c>
      <c r="J17" s="6">
        <f>'[1]Data Sheet'!J67</f>
        <v>318.64</v>
      </c>
      <c r="K17" s="6">
        <f>'[1]Data Sheet'!K67</f>
        <v>408.86</v>
      </c>
    </row>
    <row r="18" spans="1:11" x14ac:dyDescent="0.35">
      <c r="A18" t="s">
        <v>13</v>
      </c>
      <c r="B18" s="6">
        <f>'[1]Data Sheet'!B68</f>
        <v>0</v>
      </c>
      <c r="C18" s="6">
        <f>'[1]Data Sheet'!C68</f>
        <v>0</v>
      </c>
      <c r="D18" s="6">
        <f>'[1]Data Sheet'!D68</f>
        <v>0</v>
      </c>
      <c r="E18" s="6">
        <f>'[1]Data Sheet'!E68</f>
        <v>0</v>
      </c>
      <c r="F18" s="6">
        <f>'[1]Data Sheet'!F68</f>
        <v>0</v>
      </c>
      <c r="G18" s="6">
        <f>'[1]Data Sheet'!G68</f>
        <v>0</v>
      </c>
      <c r="H18" s="6">
        <f>'[1]Data Sheet'!H68</f>
        <v>0</v>
      </c>
      <c r="I18" s="6">
        <f>'[1]Data Sheet'!I68</f>
        <v>0</v>
      </c>
      <c r="J18" s="6">
        <f>'[1]Data Sheet'!J68</f>
        <v>0</v>
      </c>
      <c r="K18" s="6">
        <f>'[1]Data Sheet'!K68</f>
        <v>0</v>
      </c>
    </row>
    <row r="20" spans="1:11" x14ac:dyDescent="0.35">
      <c r="A20" t="s">
        <v>14</v>
      </c>
      <c r="B20" s="6">
        <f>IF('[1]Profit &amp; Loss'!B4&gt;0,'[1]Balance Sheet'!B17/('[1]Profit &amp; Loss'!B4/365),0)</f>
        <v>107.88497747293388</v>
      </c>
      <c r="C20" s="6">
        <f>IF('[1]Profit &amp; Loss'!C4&gt;0,'[1]Balance Sheet'!C17/('[1]Profit &amp; Loss'!C4/365),0)</f>
        <v>60.998369021089687</v>
      </c>
      <c r="D20" s="6">
        <f>IF('[1]Profit &amp; Loss'!D4&gt;0,'[1]Balance Sheet'!D17/('[1]Profit &amp; Loss'!D4/365),0)</f>
        <v>60.377048234479581</v>
      </c>
      <c r="E20" s="6">
        <f>IF('[1]Profit &amp; Loss'!E4&gt;0,'[1]Balance Sheet'!E17/('[1]Profit &amp; Loss'!E4/365),0)</f>
        <v>55.321598372708557</v>
      </c>
      <c r="F20" s="6">
        <f>IF('[1]Profit &amp; Loss'!F4&gt;0,'[1]Balance Sheet'!F17/('[1]Profit &amp; Loss'!F4/365),0)</f>
        <v>68.820773650469619</v>
      </c>
      <c r="G20" s="6">
        <f>IF('[1]Profit &amp; Loss'!G4&gt;0,'[1]Balance Sheet'!G17/('[1]Profit &amp; Loss'!G4/365),0)</f>
        <v>64.211794362709554</v>
      </c>
      <c r="H20" s="6">
        <f>IF('[1]Profit &amp; Loss'!H4&gt;0,'[1]Balance Sheet'!H17/('[1]Profit &amp; Loss'!H4/365),0)</f>
        <v>66.657030117571267</v>
      </c>
      <c r="I20" s="6">
        <f>IF('[1]Profit &amp; Loss'!I4&gt;0,'[1]Balance Sheet'!I17/('[1]Profit &amp; Loss'!I4/365),0)</f>
        <v>56.525176319207567</v>
      </c>
      <c r="J20" s="6">
        <f>IF('[1]Profit &amp; Loss'!J4&gt;0,'[1]Balance Sheet'!J17/('[1]Profit &amp; Loss'!J4/365),0)</f>
        <v>64.078765406251208</v>
      </c>
      <c r="K20" s="6">
        <f>IF('[1]Profit &amp; Loss'!K4&gt;0,'[1]Balance Sheet'!K17/('[1]Profit &amp; Loss'!K4/365),0)</f>
        <v>74.085755135677189</v>
      </c>
    </row>
    <row r="21" spans="1:11" x14ac:dyDescent="0.35">
      <c r="A21" t="s">
        <v>15</v>
      </c>
      <c r="B21" s="6">
        <f>IF('[1]Balance Sheet'!B18&gt;0,'[1]Profit &amp; Loss'!B4/'[1]Balance Sheet'!B18,0)</f>
        <v>0</v>
      </c>
      <c r="C21" s="6">
        <f>IF('[1]Balance Sheet'!C18&gt;0,'[1]Profit &amp; Loss'!C4/'[1]Balance Sheet'!C18,0)</f>
        <v>0</v>
      </c>
      <c r="D21" s="6">
        <f>IF('[1]Balance Sheet'!D18&gt;0,'[1]Profit &amp; Loss'!D4/'[1]Balance Sheet'!D18,0)</f>
        <v>0</v>
      </c>
      <c r="E21" s="6">
        <f>IF('[1]Balance Sheet'!E18&gt;0,'[1]Profit &amp; Loss'!E4/'[1]Balance Sheet'!E18,0)</f>
        <v>0</v>
      </c>
      <c r="F21" s="6">
        <f>IF('[1]Balance Sheet'!F18&gt;0,'[1]Profit &amp; Loss'!F4/'[1]Balance Sheet'!F18,0)</f>
        <v>0</v>
      </c>
      <c r="G21" s="6">
        <f>IF('[1]Balance Sheet'!G18&gt;0,'[1]Profit &amp; Loss'!G4/'[1]Balance Sheet'!G18,0)</f>
        <v>0</v>
      </c>
      <c r="H21" s="6">
        <f>IF('[1]Balance Sheet'!H18&gt;0,'[1]Profit &amp; Loss'!H4/'[1]Balance Sheet'!H18,0)</f>
        <v>0</v>
      </c>
      <c r="I21" s="6">
        <f>IF('[1]Balance Sheet'!I18&gt;0,'[1]Profit &amp; Loss'!I4/'[1]Balance Sheet'!I18,0)</f>
        <v>0</v>
      </c>
      <c r="J21" s="6">
        <f>IF('[1]Balance Sheet'!J18&gt;0,'[1]Profit &amp; Loss'!J4/'[1]Balance Sheet'!J18,0)</f>
        <v>0</v>
      </c>
      <c r="K21" s="6">
        <f>IF('[1]Balance Sheet'!K18&gt;0,'[1]Profit &amp; Loss'!K4/'[1]Balance Sheet'!K18,0)</f>
        <v>0</v>
      </c>
    </row>
    <row r="23" spans="1:11" s="1" customFormat="1" x14ac:dyDescent="0.35">
      <c r="A23" s="1" t="s">
        <v>16</v>
      </c>
      <c r="B23" s="7">
        <f>IF(SUM('[1]Balance Sheet'!B4:B5)&gt;0,'[1]Profit &amp; Loss'!B12/SUM('[1]Balance Sheet'!B4:B5),"")</f>
        <v>0.13814582058839886</v>
      </c>
      <c r="C23" s="7" t="str">
        <f>IF(SUM('[1]Balance Sheet'!C4:C5)&gt;0,'[1]Profit &amp; Loss'!C12/SUM('[1]Balance Sheet'!C4:C5),"")</f>
        <v/>
      </c>
      <c r="D23" s="7">
        <f>IF(SUM('[1]Balance Sheet'!D4:D5)&gt;0,'[1]Profit &amp; Loss'!D12/SUM('[1]Balance Sheet'!D4:D5),"")</f>
        <v>4.6758720930232567</v>
      </c>
      <c r="E23" s="7">
        <f>IF(SUM('[1]Balance Sheet'!E4:E5)&gt;0,'[1]Profit &amp; Loss'!E12/SUM('[1]Balance Sheet'!E4:E5),"")</f>
        <v>0.97757728539206579</v>
      </c>
      <c r="F23" s="7">
        <f>IF(SUM('[1]Balance Sheet'!F4:F5)&gt;0,'[1]Profit &amp; Loss'!F12/SUM('[1]Balance Sheet'!F4:F5),"")</f>
        <v>0.45502170333782366</v>
      </c>
      <c r="G23" s="7">
        <f>IF(SUM('[1]Balance Sheet'!G4:G5)&gt;0,'[1]Profit &amp; Loss'!G12/SUM('[1]Balance Sheet'!G4:G5),"")</f>
        <v>0.28293272458708207</v>
      </c>
      <c r="H23" s="7">
        <f>IF(SUM('[1]Balance Sheet'!H4:H5)&gt;0,'[1]Profit &amp; Loss'!H12/SUM('[1]Balance Sheet'!H4:H5),"")</f>
        <v>0.19950417536534445</v>
      </c>
      <c r="I23" s="7">
        <f>IF(SUM('[1]Balance Sheet'!I4:I5)&gt;0,'[1]Profit &amp; Loss'!I12/SUM('[1]Balance Sheet'!I4:I5),"")</f>
        <v>0.28560278272673284</v>
      </c>
      <c r="J23" s="7">
        <f>IF(SUM('[1]Balance Sheet'!J4:J5)&gt;0,'[1]Profit &amp; Loss'!J12/SUM('[1]Balance Sheet'!J4:J5),"")</f>
        <v>0.22435541344316937</v>
      </c>
      <c r="K23" s="7">
        <f>IF(SUM('[1]Balance Sheet'!K4:K5)&gt;0,'[1]Profit &amp; Loss'!K12/SUM('[1]Balance Sheet'!K4:K5),"")</f>
        <v>0.20780906108550307</v>
      </c>
    </row>
    <row r="24" spans="1:11" s="1" customFormat="1" x14ac:dyDescent="0.35">
      <c r="A24" s="1" t="s">
        <v>17</v>
      </c>
      <c r="B24" s="7"/>
      <c r="C24" s="7">
        <f>IF((B4+B5+B6+C4+C5+C6)&gt;0,('[1]Profit &amp; Loss'!C10+'[1]Profit &amp; Loss'!C9)*2/(B4+B5+B6+C4+C5+C6),"")</f>
        <v>-1.2578260132270644</v>
      </c>
      <c r="D24" s="7">
        <f>IF((C4+C5+C6+D4+D5+D6)&gt;0,('[1]Profit &amp; Loss'!D10+'[1]Profit &amp; Loss'!D9)*2/(C4+C5+C6+D4+D5+D6),"")</f>
        <v>0.41374166010525881</v>
      </c>
      <c r="E24" s="7">
        <f>IF((D4+D5+D6+E4+E5+E6)&gt;0,('[1]Profit &amp; Loss'!E10+'[1]Profit &amp; Loss'!E9)*2/(D4+D5+D6+E4+E5+E6),"")</f>
        <v>0.86503625685847418</v>
      </c>
      <c r="F24" s="7">
        <f>IF((E4+E5+E6+F4+F5+F6)&gt;0,('[1]Profit &amp; Loss'!F10+'[1]Profit &amp; Loss'!F9)*2/(E4+E5+E6+F4+F5+F6),"")</f>
        <v>0.45288927307422572</v>
      </c>
      <c r="G24" s="7">
        <f>IF((F4+F5+F6+G4+G5+G6)&gt;0,('[1]Profit &amp; Loss'!G10+'[1]Profit &amp; Loss'!G9)*2/(F4+F5+F6+G4+G5+G6),"")</f>
        <v>0.36356649684528908</v>
      </c>
      <c r="H24" s="7">
        <f>IF((G4+G5+G6+H4+H5+H6)&gt;0,('[1]Profit &amp; Loss'!H10+'[1]Profit &amp; Loss'!H9)*2/(G4+G5+G6+H4+H5+H6),"")</f>
        <v>0.26424470195218708</v>
      </c>
      <c r="I24" s="7">
        <f>IF((H4+H5+H6+I4+I5+I6)&gt;0,('[1]Profit &amp; Loss'!I10+'[1]Profit &amp; Loss'!I9)*2/(H4+H5+H6+I4+I5+I6),"")</f>
        <v>0.38150210970464132</v>
      </c>
      <c r="J24" s="7">
        <f>IF((I4+I5+I6+J4+J5+J6)&gt;0,('[1]Profit &amp; Loss'!J10+'[1]Profit &amp; Loss'!J9)*2/(I4+I5+I6+J4+J5+J6),"")</f>
        <v>0.31171463878590966</v>
      </c>
      <c r="K24" s="7">
        <f>IF((J4+J5+J6+K4+K5+K6)&gt;0,('[1]Profit &amp; Loss'!K10+'[1]Profit &amp; Loss'!K9)*2/(J4+J5+J6+K4+K5+K6),"")</f>
        <v>0.3078903766065112</v>
      </c>
    </row>
  </sheetData>
  <hyperlinks>
    <hyperlink ref="J1" r:id="rId1" xr:uid="{9FDF635A-A55B-40BF-B38A-62317713B8E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47EDA-7C14-4CE3-9653-07FBAF621293}">
  <dimension ref="A1:N25"/>
  <sheetViews>
    <sheetView workbookViewId="0">
      <selection sqref="A1:XFD1048576"/>
    </sheetView>
  </sheetViews>
  <sheetFormatPr defaultColWidth="8.81640625" defaultRowHeight="14.5" x14ac:dyDescent="0.35"/>
  <cols>
    <col min="1" max="1" width="20.6328125" customWidth="1"/>
    <col min="2" max="6" width="13.453125" customWidth="1"/>
    <col min="7" max="7" width="14.81640625" bestFit="1" customWidth="1"/>
    <col min="8" max="11" width="13.453125" customWidth="1"/>
    <col min="12" max="12" width="13.36328125" customWidth="1"/>
    <col min="13" max="14" width="12.1796875" customWidth="1"/>
  </cols>
  <sheetData>
    <row r="1" spans="1:14" s="1" customFormat="1" x14ac:dyDescent="0.35">
      <c r="A1" s="1" t="str">
        <f>'[1]Data Sheet'!B1</f>
        <v>CIGNITI TECHNOLOGIES LTD</v>
      </c>
      <c r="H1" t="str">
        <f>UPDATE</f>
        <v/>
      </c>
      <c r="J1" s="8"/>
      <c r="K1" s="8"/>
      <c r="M1" s="1" t="s">
        <v>0</v>
      </c>
    </row>
    <row r="3" spans="1:14" s="1" customFormat="1" x14ac:dyDescent="0.35">
      <c r="A3" s="2" t="s">
        <v>1</v>
      </c>
      <c r="B3" s="3">
        <f>'[1]Data Sheet'!B16</f>
        <v>42460</v>
      </c>
      <c r="C3" s="3">
        <f>'[1]Data Sheet'!C16</f>
        <v>42825</v>
      </c>
      <c r="D3" s="3">
        <f>'[1]Data Sheet'!D16</f>
        <v>43190</v>
      </c>
      <c r="E3" s="3">
        <f>'[1]Data Sheet'!E16</f>
        <v>43555</v>
      </c>
      <c r="F3" s="3">
        <f>'[1]Data Sheet'!F16</f>
        <v>43921</v>
      </c>
      <c r="G3" s="3">
        <f>'[1]Data Sheet'!G16</f>
        <v>44286</v>
      </c>
      <c r="H3" s="3">
        <f>'[1]Data Sheet'!H16</f>
        <v>44651</v>
      </c>
      <c r="I3" s="3">
        <f>'[1]Data Sheet'!I16</f>
        <v>45016</v>
      </c>
      <c r="J3" s="3">
        <f>'[1]Data Sheet'!J16</f>
        <v>45382</v>
      </c>
      <c r="K3" s="3">
        <f>'[1]Data Sheet'!K16</f>
        <v>45747</v>
      </c>
      <c r="L3" s="9" t="s">
        <v>18</v>
      </c>
      <c r="M3" s="9" t="s">
        <v>19</v>
      </c>
      <c r="N3" s="9" t="s">
        <v>20</v>
      </c>
    </row>
    <row r="4" spans="1:14" s="1" customFormat="1" x14ac:dyDescent="0.35">
      <c r="A4" s="1" t="s">
        <v>21</v>
      </c>
      <c r="B4" s="10">
        <f>'[1]Data Sheet'!B17</f>
        <v>594.84</v>
      </c>
      <c r="C4" s="10">
        <f>'[1]Data Sheet'!C17</f>
        <v>619.26</v>
      </c>
      <c r="D4" s="10">
        <f>'[1]Data Sheet'!D17</f>
        <v>693.28</v>
      </c>
      <c r="E4" s="10">
        <f>'[1]Data Sheet'!E17</f>
        <v>816.08</v>
      </c>
      <c r="F4" s="10">
        <f>'[1]Data Sheet'!F17</f>
        <v>871.97</v>
      </c>
      <c r="G4" s="10">
        <f>'[1]Data Sheet'!G17</f>
        <v>896.53</v>
      </c>
      <c r="H4" s="10">
        <f>'[1]Data Sheet'!H17</f>
        <v>1241.8</v>
      </c>
      <c r="I4" s="10">
        <f>'[1]Data Sheet'!I17</f>
        <v>1647.58</v>
      </c>
      <c r="J4" s="10">
        <f>'[1]Data Sheet'!J17</f>
        <v>1815.01</v>
      </c>
      <c r="K4" s="10">
        <f>'[1]Data Sheet'!K17</f>
        <v>2014.34</v>
      </c>
      <c r="L4" s="10">
        <f>SUM([1]Quarters!H4:K4)</f>
        <v>2211.1999999999998</v>
      </c>
      <c r="M4" s="10">
        <f>$K4+M23*K4</f>
        <v>2366.7904995822519</v>
      </c>
      <c r="N4" s="10">
        <f>$K4+N23*L4</f>
        <v>2257.1808085905859</v>
      </c>
    </row>
    <row r="5" spans="1:14" x14ac:dyDescent="0.35">
      <c r="A5" t="s">
        <v>22</v>
      </c>
      <c r="B5" s="11">
        <f>SUM('[1]Data Sheet'!B18,'[1]Data Sheet'!B20:B24, -1*'[1]Data Sheet'!B19)</f>
        <v>496.9</v>
      </c>
      <c r="C5" s="11">
        <f>SUM('[1]Data Sheet'!C18,'[1]Data Sheet'!C20:C24, -1*'[1]Data Sheet'!C19)</f>
        <v>641.13</v>
      </c>
      <c r="D5" s="11">
        <f>SUM('[1]Data Sheet'!D18,'[1]Data Sheet'!D20:D24, -1*'[1]Data Sheet'!D19)</f>
        <v>641.23000000000013</v>
      </c>
      <c r="E5" s="11">
        <f>SUM('[1]Data Sheet'!E18,'[1]Data Sheet'!E20:E24, -1*'[1]Data Sheet'!E19)</f>
        <v>683.31</v>
      </c>
      <c r="F5" s="11">
        <f>SUM('[1]Data Sheet'!F18,'[1]Data Sheet'!F20:F24, -1*'[1]Data Sheet'!F19)</f>
        <v>743.28</v>
      </c>
      <c r="G5" s="11">
        <f>SUM('[1]Data Sheet'!G18,'[1]Data Sheet'!G20:G24, -1*'[1]Data Sheet'!G19)</f>
        <v>751.06</v>
      </c>
      <c r="H5" s="11">
        <f>SUM('[1]Data Sheet'!H18,'[1]Data Sheet'!H20:H24, -1*'[1]Data Sheet'!H19)</f>
        <v>1112.5200000000002</v>
      </c>
      <c r="I5" s="11">
        <f>SUM('[1]Data Sheet'!I18,'[1]Data Sheet'!I20:I24, -1*'[1]Data Sheet'!I19)</f>
        <v>1409.88</v>
      </c>
      <c r="J5" s="11">
        <f>SUM('[1]Data Sheet'!J18,'[1]Data Sheet'!J20:J24, -1*'[1]Data Sheet'!J19)</f>
        <v>1593.26</v>
      </c>
      <c r="K5" s="11">
        <f>SUM('[1]Data Sheet'!K18,'[1]Data Sheet'!K20:K24, -1*'[1]Data Sheet'!K19)</f>
        <v>1725.31</v>
      </c>
      <c r="L5" s="11">
        <f>SUM([1]Quarters!H5:K5)</f>
        <v>1832.7</v>
      </c>
      <c r="M5" s="11">
        <f t="shared" ref="M5:N5" si="0">M4-M6</f>
        <v>1961.6574478040852</v>
      </c>
      <c r="N5" s="11">
        <f t="shared" si="0"/>
        <v>1968.3197159666047</v>
      </c>
    </row>
    <row r="6" spans="1:14" s="1" customFormat="1" x14ac:dyDescent="0.35">
      <c r="A6" s="1" t="s">
        <v>23</v>
      </c>
      <c r="B6" s="10">
        <f>B4-B5</f>
        <v>97.940000000000055</v>
      </c>
      <c r="C6" s="10">
        <f t="shared" ref="C6:K6" si="1">C4-C5</f>
        <v>-21.870000000000005</v>
      </c>
      <c r="D6" s="10">
        <f t="shared" si="1"/>
        <v>52.049999999999841</v>
      </c>
      <c r="E6" s="10">
        <f t="shared" si="1"/>
        <v>132.7700000000001</v>
      </c>
      <c r="F6" s="10">
        <f t="shared" si="1"/>
        <v>128.69000000000005</v>
      </c>
      <c r="G6" s="10">
        <f t="shared" si="1"/>
        <v>145.47000000000003</v>
      </c>
      <c r="H6" s="10">
        <f t="shared" si="1"/>
        <v>129.27999999999975</v>
      </c>
      <c r="I6" s="10">
        <f t="shared" si="1"/>
        <v>237.69999999999982</v>
      </c>
      <c r="J6" s="10">
        <f t="shared" si="1"/>
        <v>221.75</v>
      </c>
      <c r="K6" s="10">
        <f t="shared" si="1"/>
        <v>289.02999999999997</v>
      </c>
      <c r="L6" s="10">
        <f>SUM([1]Quarters!H6:K6)</f>
        <v>378.5</v>
      </c>
      <c r="M6" s="10">
        <f>M4*M24</f>
        <v>405.13305177816676</v>
      </c>
      <c r="N6" s="10">
        <f>N4*N24</f>
        <v>288.86109262398128</v>
      </c>
    </row>
    <row r="7" spans="1:14" x14ac:dyDescent="0.35">
      <c r="A7" t="s">
        <v>24</v>
      </c>
      <c r="B7" s="11">
        <f>'[1]Data Sheet'!B25</f>
        <v>3.41</v>
      </c>
      <c r="C7" s="11">
        <f>'[1]Data Sheet'!C25</f>
        <v>-332.04</v>
      </c>
      <c r="D7" s="11">
        <f>'[1]Data Sheet'!D25</f>
        <v>0.57999999999999996</v>
      </c>
      <c r="E7" s="11">
        <f>'[1]Data Sheet'!E25</f>
        <v>27.25</v>
      </c>
      <c r="F7" s="11">
        <f>'[1]Data Sheet'!F25</f>
        <v>21.63</v>
      </c>
      <c r="G7" s="11">
        <f>'[1]Data Sheet'!G25</f>
        <v>13.45</v>
      </c>
      <c r="H7" s="11">
        <f>'[1]Data Sheet'!H25</f>
        <v>13.44</v>
      </c>
      <c r="I7" s="11">
        <f>'[1]Data Sheet'!I25</f>
        <v>14.72</v>
      </c>
      <c r="J7" s="11">
        <f>'[1]Data Sheet'!J25</f>
        <v>33.08</v>
      </c>
      <c r="K7" s="11">
        <f>'[1]Data Sheet'!K25</f>
        <v>20.170000000000002</v>
      </c>
      <c r="L7" s="11">
        <f>SUM([1]Quarters!H7:K7)</f>
        <v>55.7</v>
      </c>
      <c r="M7" s="11">
        <v>0</v>
      </c>
      <c r="N7" s="11">
        <v>0</v>
      </c>
    </row>
    <row r="8" spans="1:14" x14ac:dyDescent="0.35">
      <c r="A8" t="s">
        <v>25</v>
      </c>
      <c r="B8" s="11">
        <f>'[1]Data Sheet'!B26</f>
        <v>11.29</v>
      </c>
      <c r="C8" s="11">
        <f>'[1]Data Sheet'!C26</f>
        <v>16.96</v>
      </c>
      <c r="D8" s="11">
        <f>'[1]Data Sheet'!D26</f>
        <v>2.71</v>
      </c>
      <c r="E8" s="11">
        <f>'[1]Data Sheet'!E26</f>
        <v>3.15</v>
      </c>
      <c r="F8" s="11">
        <f>'[1]Data Sheet'!F26</f>
        <v>11.48</v>
      </c>
      <c r="G8" s="11">
        <f>'[1]Data Sheet'!G26</f>
        <v>12.27</v>
      </c>
      <c r="H8" s="11">
        <f>'[1]Data Sheet'!H26</f>
        <v>16.16</v>
      </c>
      <c r="I8" s="11">
        <f>'[1]Data Sheet'!I26</f>
        <v>26.38</v>
      </c>
      <c r="J8" s="11">
        <f>'[1]Data Sheet'!J26</f>
        <v>30.33</v>
      </c>
      <c r="K8" s="11">
        <f>'[1]Data Sheet'!K26</f>
        <v>34.18</v>
      </c>
      <c r="L8" s="11">
        <f>SUM([1]Quarters!H8:K8)</f>
        <v>26.299999999999997</v>
      </c>
      <c r="M8" s="11">
        <f>+$L8</f>
        <v>26.299999999999997</v>
      </c>
      <c r="N8" s="11">
        <f>+$L8</f>
        <v>26.299999999999997</v>
      </c>
    </row>
    <row r="9" spans="1:14" x14ac:dyDescent="0.35">
      <c r="A9" t="s">
        <v>26</v>
      </c>
      <c r="B9" s="11">
        <f>'[1]Data Sheet'!B27</f>
        <v>6.03</v>
      </c>
      <c r="C9" s="11">
        <f>'[1]Data Sheet'!C27</f>
        <v>16.100000000000001</v>
      </c>
      <c r="D9" s="11">
        <f>'[1]Data Sheet'!D27</f>
        <v>16.98</v>
      </c>
      <c r="E9" s="11">
        <f>'[1]Data Sheet'!E27</f>
        <v>14.64</v>
      </c>
      <c r="F9" s="11">
        <f>'[1]Data Sheet'!F27</f>
        <v>8</v>
      </c>
      <c r="G9" s="11">
        <f>'[1]Data Sheet'!G27</f>
        <v>5.59</v>
      </c>
      <c r="H9" s="11">
        <f>'[1]Data Sheet'!H27</f>
        <v>5.05</v>
      </c>
      <c r="I9" s="11">
        <f>'[1]Data Sheet'!I27</f>
        <v>4.4000000000000004</v>
      </c>
      <c r="J9" s="11">
        <f>'[1]Data Sheet'!J27</f>
        <v>4.12</v>
      </c>
      <c r="K9" s="11">
        <f>'[1]Data Sheet'!K27</f>
        <v>2.98</v>
      </c>
      <c r="L9" s="11">
        <f>SUM([1]Quarters!H9:K9)</f>
        <v>4</v>
      </c>
      <c r="M9" s="11">
        <f>+$L9</f>
        <v>4</v>
      </c>
      <c r="N9" s="11">
        <f>+$L9</f>
        <v>4</v>
      </c>
    </row>
    <row r="10" spans="1:14" x14ac:dyDescent="0.35">
      <c r="A10" t="s">
        <v>27</v>
      </c>
      <c r="B10" s="11">
        <f>'[1]Data Sheet'!B28</f>
        <v>84.03</v>
      </c>
      <c r="C10" s="11">
        <f>'[1]Data Sheet'!C28</f>
        <v>-386.97</v>
      </c>
      <c r="D10" s="11">
        <f>'[1]Data Sheet'!D28</f>
        <v>32.94</v>
      </c>
      <c r="E10" s="11">
        <f>'[1]Data Sheet'!E28</f>
        <v>142.22999999999999</v>
      </c>
      <c r="F10" s="11">
        <f>'[1]Data Sheet'!F28</f>
        <v>130.84</v>
      </c>
      <c r="G10" s="11">
        <f>'[1]Data Sheet'!G28</f>
        <v>141.06</v>
      </c>
      <c r="H10" s="11">
        <f>'[1]Data Sheet'!H28</f>
        <v>121.51</v>
      </c>
      <c r="I10" s="11">
        <f>'[1]Data Sheet'!I28</f>
        <v>221.64</v>
      </c>
      <c r="J10" s="11">
        <f>'[1]Data Sheet'!J28</f>
        <v>220.38</v>
      </c>
      <c r="K10" s="11">
        <f>'[1]Data Sheet'!K28</f>
        <v>272.04000000000002</v>
      </c>
      <c r="L10" s="11">
        <f>SUM([1]Quarters!H10:K10)</f>
        <v>403.9</v>
      </c>
      <c r="M10" s="11">
        <f>M6+M7-SUM(M8:M9)</f>
        <v>374.83305177816675</v>
      </c>
      <c r="N10" s="11">
        <f>N6+N7-SUM(N8:N9)</f>
        <v>258.56109262398127</v>
      </c>
    </row>
    <row r="11" spans="1:14" x14ac:dyDescent="0.35">
      <c r="A11" t="s">
        <v>28</v>
      </c>
      <c r="B11" s="11">
        <f>'[1]Data Sheet'!B29</f>
        <v>34.35</v>
      </c>
      <c r="C11" s="11">
        <f>'[1]Data Sheet'!C29</f>
        <v>7.86</v>
      </c>
      <c r="D11" s="11">
        <f>'[1]Data Sheet'!D29</f>
        <v>0.77</v>
      </c>
      <c r="E11" s="11">
        <f>'[1]Data Sheet'!E29</f>
        <v>-5.13</v>
      </c>
      <c r="F11" s="11">
        <f>'[1]Data Sheet'!F29</f>
        <v>9.24</v>
      </c>
      <c r="G11" s="11">
        <f>'[1]Data Sheet'!G29</f>
        <v>35.71</v>
      </c>
      <c r="H11" s="11">
        <f>'[1]Data Sheet'!H29</f>
        <v>29.78</v>
      </c>
      <c r="I11" s="11">
        <f>'[1]Data Sheet'!I29</f>
        <v>53.32</v>
      </c>
      <c r="J11" s="11">
        <f>'[1]Data Sheet'!J29</f>
        <v>54.79</v>
      </c>
      <c r="K11" s="11">
        <f>'[1]Data Sheet'!K29</f>
        <v>71.86</v>
      </c>
      <c r="L11" s="11">
        <f>SUM([1]Quarters!H11:K11)</f>
        <v>101.89999999999999</v>
      </c>
      <c r="M11" s="12">
        <f>IF($L10&gt;0,$L11/$L10,0)</f>
        <v>0.25229017083436495</v>
      </c>
      <c r="N11" s="12">
        <f>IF($L10&gt;0,$L11/$L10,0)</f>
        <v>0.25229017083436495</v>
      </c>
    </row>
    <row r="12" spans="1:14" s="1" customFormat="1" x14ac:dyDescent="0.35">
      <c r="A12" s="1" t="s">
        <v>29</v>
      </c>
      <c r="B12" s="10">
        <f>'[1]Data Sheet'!B30</f>
        <v>49.68</v>
      </c>
      <c r="C12" s="10">
        <f>'[1]Data Sheet'!C30</f>
        <v>-394.83</v>
      </c>
      <c r="D12" s="10">
        <f>'[1]Data Sheet'!D30</f>
        <v>32.17</v>
      </c>
      <c r="E12" s="10">
        <f>'[1]Data Sheet'!E30</f>
        <v>147.36000000000001</v>
      </c>
      <c r="F12" s="10">
        <f>'[1]Data Sheet'!F30</f>
        <v>121.6</v>
      </c>
      <c r="G12" s="10">
        <f>'[1]Data Sheet'!G30</f>
        <v>105.35</v>
      </c>
      <c r="H12" s="10">
        <f>'[1]Data Sheet'!H30</f>
        <v>91.74</v>
      </c>
      <c r="I12" s="10">
        <f>'[1]Data Sheet'!I30</f>
        <v>168.32</v>
      </c>
      <c r="J12" s="10">
        <f>'[1]Data Sheet'!J30</f>
        <v>165.59</v>
      </c>
      <c r="K12" s="10">
        <f>'[1]Data Sheet'!K30</f>
        <v>200.17</v>
      </c>
      <c r="L12" s="10">
        <f>SUM([1]Quarters!H12:K12)</f>
        <v>302</v>
      </c>
      <c r="M12" s="10">
        <f>M10-M11*M10</f>
        <v>280.26635711068673</v>
      </c>
      <c r="N12" s="10">
        <f>N10-N11*N10</f>
        <v>193.32867039475695</v>
      </c>
    </row>
    <row r="13" spans="1:14" x14ac:dyDescent="0.35">
      <c r="A13" t="s">
        <v>30</v>
      </c>
      <c r="B13" s="11">
        <f>IF('[1]Data Sheet'!B93&gt;0,B12/'[1]Data Sheet'!B93,0)</f>
        <v>19.482352941176472</v>
      </c>
      <c r="C13" s="11">
        <f>IF('[1]Data Sheet'!C93&gt;0,C12/'[1]Data Sheet'!C93,0)</f>
        <v>-148.99245283018868</v>
      </c>
      <c r="D13" s="11">
        <f>IF('[1]Data Sheet'!D93&gt;0,D12/'[1]Data Sheet'!D93,0)</f>
        <v>12.139622641509435</v>
      </c>
      <c r="E13" s="11">
        <f>IF('[1]Data Sheet'!E93&gt;0,E12/'[1]Data Sheet'!E93,0)</f>
        <v>53.585454545454553</v>
      </c>
      <c r="F13" s="11">
        <f>IF('[1]Data Sheet'!F93&gt;0,F12/'[1]Data Sheet'!F93,0)</f>
        <v>43.741007194244602</v>
      </c>
      <c r="G13" s="11">
        <f>IF('[1]Data Sheet'!G93&gt;0,G12/'[1]Data Sheet'!G93,0)</f>
        <v>37.625</v>
      </c>
      <c r="H13" s="11">
        <f>IF('[1]Data Sheet'!H93&gt;0,H12/'[1]Data Sheet'!H93,0)</f>
        <v>32.647686832740213</v>
      </c>
      <c r="I13" s="11">
        <f>IF('[1]Data Sheet'!I93&gt;0,I12/'[1]Data Sheet'!I93,0)</f>
        <v>59.90035587188612</v>
      </c>
      <c r="J13" s="11">
        <f>IF('[1]Data Sheet'!J93&gt;0,J12/'[1]Data Sheet'!J93,0)</f>
        <v>60.655677655677657</v>
      </c>
      <c r="K13" s="11">
        <f>IF('[1]Data Sheet'!K93&gt;0,K12/'[1]Data Sheet'!K93,0)</f>
        <v>73.054744525547434</v>
      </c>
      <c r="L13" s="11">
        <f>IF('[1]Data Sheet'!$B6&gt;0,'[1]Profit &amp; Loss'!L12/'[1]Data Sheet'!$B6,0)</f>
        <v>109.63107836416322</v>
      </c>
      <c r="M13" s="11">
        <f>IF('[1]Data Sheet'!$B6&gt;0,'[1]Profit &amp; Loss'!M12/'[1]Data Sheet'!$B6,0)</f>
        <v>101.74140052728559</v>
      </c>
      <c r="N13" s="11">
        <f>IF('[1]Data Sheet'!$B6&gt;0,'[1]Profit &amp; Loss'!N12/'[1]Data Sheet'!$B6,0)</f>
        <v>70.181558324791666</v>
      </c>
    </row>
    <row r="14" spans="1:14" x14ac:dyDescent="0.35">
      <c r="A14" t="s">
        <v>31</v>
      </c>
      <c r="B14" s="11">
        <f>IF(B15&gt;0,B15/B13,"")</f>
        <v>21.522041062801932</v>
      </c>
      <c r="C14" s="11">
        <f t="shared" ref="C14:K14" si="2">IF(C15&gt;0,C15/C13,"")</f>
        <v>-2.5779829293620038</v>
      </c>
      <c r="D14" s="11">
        <f t="shared" si="2"/>
        <v>19.769972023624494</v>
      </c>
      <c r="E14" s="11">
        <f t="shared" si="2"/>
        <v>6.0678779858849063</v>
      </c>
      <c r="F14" s="11">
        <f t="shared" si="2"/>
        <v>4.3220312500000002</v>
      </c>
      <c r="G14" s="11">
        <f t="shared" si="2"/>
        <v>8.3720930232558146</v>
      </c>
      <c r="H14" s="11">
        <f t="shared" si="2"/>
        <v>13.163260300850229</v>
      </c>
      <c r="I14" s="11">
        <f t="shared" si="2"/>
        <v>12.454016159695819</v>
      </c>
      <c r="J14" s="11">
        <f t="shared" si="2"/>
        <v>20.869439579684762</v>
      </c>
      <c r="K14" s="11">
        <f t="shared" si="2"/>
        <v>20.041819453464559</v>
      </c>
      <c r="L14" s="11">
        <f t="shared" ref="L14" si="3">IF(L13&gt;0,L15/L13,0)</f>
        <v>11.495827814569536</v>
      </c>
      <c r="M14" s="11">
        <f>M25</f>
        <v>16.215275751853667</v>
      </c>
      <c r="N14" s="11">
        <f>N25</f>
        <v>11.495827814569536</v>
      </c>
    </row>
    <row r="15" spans="1:14" s="1" customFormat="1" x14ac:dyDescent="0.35">
      <c r="A15" s="1" t="s">
        <v>32</v>
      </c>
      <c r="B15" s="10">
        <f>'[1]Data Sheet'!B90</f>
        <v>419.3</v>
      </c>
      <c r="C15" s="10">
        <f>'[1]Data Sheet'!C90</f>
        <v>384.1</v>
      </c>
      <c r="D15" s="10">
        <f>'[1]Data Sheet'!D90</f>
        <v>240</v>
      </c>
      <c r="E15" s="10">
        <f>'[1]Data Sheet'!E90</f>
        <v>325.14999999999998</v>
      </c>
      <c r="F15" s="10">
        <f>'[1]Data Sheet'!F90</f>
        <v>189.05</v>
      </c>
      <c r="G15" s="10">
        <f>'[1]Data Sheet'!G90</f>
        <v>315</v>
      </c>
      <c r="H15" s="10">
        <f>'[1]Data Sheet'!H90</f>
        <v>429.75</v>
      </c>
      <c r="I15" s="10">
        <f>'[1]Data Sheet'!I90</f>
        <v>746</v>
      </c>
      <c r="J15" s="10">
        <f>'[1]Data Sheet'!J90</f>
        <v>1265.8499999999999</v>
      </c>
      <c r="K15" s="10">
        <f>'[1]Data Sheet'!K90</f>
        <v>1464.15</v>
      </c>
      <c r="L15" s="10">
        <f>'[1]Data Sheet'!B8</f>
        <v>1260.3</v>
      </c>
      <c r="M15" s="13">
        <f>M13*M14</f>
        <v>1649.7648649297259</v>
      </c>
      <c r="N15" s="14">
        <f>N13*N14</f>
        <v>806.79511025997419</v>
      </c>
    </row>
    <row r="17" spans="1:14" s="1" customFormat="1" x14ac:dyDescent="0.35">
      <c r="A17" s="1" t="s">
        <v>33</v>
      </c>
    </row>
    <row r="18" spans="1:14" x14ac:dyDescent="0.35">
      <c r="A18" t="s">
        <v>34</v>
      </c>
      <c r="B18" s="15">
        <f>IF('[1]Data Sheet'!B30&gt;0, '[1]Data Sheet'!B31/'[1]Data Sheet'!B30, 0)</f>
        <v>0</v>
      </c>
      <c r="C18" s="15">
        <f>IF('[1]Data Sheet'!C30&gt;0, '[1]Data Sheet'!C31/'[1]Data Sheet'!C30, 0)</f>
        <v>0</v>
      </c>
      <c r="D18" s="15">
        <f>IF('[1]Data Sheet'!D30&gt;0, '[1]Data Sheet'!D31/'[1]Data Sheet'!D30, 0)</f>
        <v>0</v>
      </c>
      <c r="E18" s="15">
        <f>IF('[1]Data Sheet'!E30&gt;0, '[1]Data Sheet'!E31/'[1]Data Sheet'!E30, 0)</f>
        <v>0</v>
      </c>
      <c r="F18" s="15">
        <f>IF('[1]Data Sheet'!F30&gt;0, '[1]Data Sheet'!F31/'[1]Data Sheet'!F30, 0)</f>
        <v>0</v>
      </c>
      <c r="G18" s="15">
        <f>IF('[1]Data Sheet'!G30&gt;0, '[1]Data Sheet'!G31/'[1]Data Sheet'!G30, 0)</f>
        <v>6.6445182724252497E-2</v>
      </c>
      <c r="H18" s="15">
        <f>IF('[1]Data Sheet'!H30&gt;0, '[1]Data Sheet'!H31/'[1]Data Sheet'!H30, 0)</f>
        <v>7.6411597994331809E-2</v>
      </c>
      <c r="I18" s="15">
        <f>IF('[1]Data Sheet'!I30&gt;0, '[1]Data Sheet'!I31/'[1]Data Sheet'!I30, 0)</f>
        <v>8.9056558935361227E-2</v>
      </c>
      <c r="J18" s="15">
        <f>IF('[1]Data Sheet'!J30&gt;0, '[1]Data Sheet'!J31/'[1]Data Sheet'!J30, 0)</f>
        <v>4.9459508424421761E-2</v>
      </c>
      <c r="K18" s="15">
        <f>IF('[1]Data Sheet'!K30&gt;0, '[1]Data Sheet'!K31/'[1]Data Sheet'!K30, 0)</f>
        <v>0</v>
      </c>
    </row>
    <row r="19" spans="1:14" x14ac:dyDescent="0.35">
      <c r="A19" t="s">
        <v>35</v>
      </c>
      <c r="B19" s="15">
        <f t="shared" ref="B19:L19" si="4">IF(B6&gt;0,B6/B4,0)</f>
        <v>0.16464931746351968</v>
      </c>
      <c r="C19" s="15">
        <f t="shared" si="4"/>
        <v>0</v>
      </c>
      <c r="D19" s="15">
        <f t="shared" si="4"/>
        <v>7.5077890606969538E-2</v>
      </c>
      <c r="E19" s="15">
        <f t="shared" si="4"/>
        <v>0.16269238309969622</v>
      </c>
      <c r="F19" s="15">
        <f t="shared" si="4"/>
        <v>0.14758535270708861</v>
      </c>
      <c r="G19" s="15">
        <f t="shared" si="4"/>
        <v>0.16225893165872868</v>
      </c>
      <c r="H19" s="15">
        <f t="shared" si="4"/>
        <v>0.10410694153647911</v>
      </c>
      <c r="I19" s="15">
        <f t="shared" si="4"/>
        <v>0.14427220529503867</v>
      </c>
      <c r="J19" s="15">
        <f t="shared" si="4"/>
        <v>0.12217563539594824</v>
      </c>
      <c r="K19" s="15">
        <f t="shared" si="4"/>
        <v>0.14348620391790859</v>
      </c>
      <c r="L19" s="15">
        <f t="shared" si="4"/>
        <v>0.17117402315484806</v>
      </c>
    </row>
    <row r="20" spans="1:14" x14ac:dyDescent="0.35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1:14" x14ac:dyDescent="0.35"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</row>
    <row r="22" spans="1:14" s="1" customFormat="1" x14ac:dyDescent="0.35">
      <c r="A22" s="2"/>
      <c r="B22" s="3"/>
      <c r="C22" s="3"/>
      <c r="D22" s="3"/>
      <c r="E22" s="3"/>
      <c r="F22" s="3"/>
      <c r="G22" s="3" t="s">
        <v>36</v>
      </c>
      <c r="H22" s="3" t="s">
        <v>37</v>
      </c>
      <c r="I22" s="3" t="s">
        <v>38</v>
      </c>
      <c r="J22" s="3" t="s">
        <v>39</v>
      </c>
      <c r="K22" s="3" t="s">
        <v>40</v>
      </c>
      <c r="L22" s="9" t="s">
        <v>41</v>
      </c>
      <c r="M22" s="9" t="s">
        <v>42</v>
      </c>
      <c r="N22" s="9" t="s">
        <v>43</v>
      </c>
    </row>
    <row r="23" spans="1:14" s="1" customFormat="1" x14ac:dyDescent="0.35">
      <c r="A23"/>
      <c r="B23"/>
      <c r="C23"/>
      <c r="D23"/>
      <c r="E23"/>
      <c r="F23"/>
      <c r="G23" t="s">
        <v>44</v>
      </c>
      <c r="H23" s="15">
        <f>IF(B4=0,"",POWER($K4/B4,1/9)-1)</f>
        <v>0.14514156668173683</v>
      </c>
      <c r="I23" s="15">
        <f>IF(D4=0,"",POWER($K4/D4,1/7)-1)</f>
        <v>0.16459486851162564</v>
      </c>
      <c r="J23" s="15">
        <f>IF(F4=0,"",POWER($K4/F4,1/5)-1)</f>
        <v>0.18229607198510056</v>
      </c>
      <c r="K23" s="15">
        <f>IF(H4=0,"",POWER($K4/H4, 1/3)-1)</f>
        <v>0.1749707098018467</v>
      </c>
      <c r="L23" s="15">
        <f>IF(ISERROR(MAX(IF(J4=0,"",(K4-J4)/J4),IF(K4=0,"",(L4-K4)/K4))),"",MAX(IF(J4=0,"",(K4-J4)/J4),IF(K4=0,"",(L4-K4)/K4)))</f>
        <v>0.10982308637417972</v>
      </c>
      <c r="M23" s="16">
        <f>MAX(K23:L23)</f>
        <v>0.1749707098018467</v>
      </c>
      <c r="N23" s="16">
        <f>MIN(H23:L23)</f>
        <v>0.10982308637417972</v>
      </c>
    </row>
    <row r="24" spans="1:14" x14ac:dyDescent="0.35">
      <c r="G24" t="s">
        <v>35</v>
      </c>
      <c r="H24" s="15">
        <f>IF(SUM(B4:$K$4)=0,"",SUMPRODUCT(B19:$K$19,B4:$K$4)/SUM(B4:$K$4))</f>
        <v>0.12797428169006542</v>
      </c>
      <c r="I24" s="15">
        <f>IF(SUM(E4:$K$4)=0,"",SUMPRODUCT(E19:$K$19,E4:$K$4)/SUM(E4:$K$4))</f>
        <v>0.13808956167213601</v>
      </c>
      <c r="J24" s="15">
        <f>IF(SUM(G4:$K$4)=0,"",SUMPRODUCT(G19:$K$19,G4:$K$4)/SUM(G4:$K$4))</f>
        <v>0.13436573406554728</v>
      </c>
      <c r="K24" s="15">
        <f>IF(SUM(I4:$K$4)=0, "", SUMPRODUCT(I19:$K$19,I4:$K$4)/SUM(I4:$K$4))</f>
        <v>0.1366605014122875</v>
      </c>
      <c r="L24" s="15">
        <f>L19</f>
        <v>0.17117402315484806</v>
      </c>
      <c r="M24" s="16">
        <f>MAX(K24:L24)</f>
        <v>0.17117402315484806</v>
      </c>
      <c r="N24" s="16">
        <f>MIN(H24:L24)</f>
        <v>0.12797428169006542</v>
      </c>
    </row>
    <row r="25" spans="1:14" x14ac:dyDescent="0.35">
      <c r="G25" t="s">
        <v>45</v>
      </c>
      <c r="H25" s="11">
        <f>IF(ISERROR(AVERAGEIF(B14:$L14,"&gt;0")),"",AVERAGEIF(B14:$L14,"&gt;0"))</f>
        <v>13.807837865383206</v>
      </c>
      <c r="I25" s="11">
        <f>IF(ISERROR(AVERAGEIF(E14:$L14,"&gt;0")),"",AVERAGEIF(E14:$L14,"&gt;0"))</f>
        <v>12.098295695925703</v>
      </c>
      <c r="J25" s="11">
        <f>IF(ISERROR(AVERAGEIF(G14:$L14,"&gt;0")),"",AVERAGEIF(G14:$L14,"&gt;0"))</f>
        <v>14.399409388586788</v>
      </c>
      <c r="K25" s="11">
        <f>IF(ISERROR(AVERAGEIF(I14:$L14,"&gt;0")),"",AVERAGEIF(I14:$L14,"&gt;0"))</f>
        <v>16.215275751853667</v>
      </c>
      <c r="L25" s="11">
        <f>L14</f>
        <v>11.495827814569536</v>
      </c>
      <c r="M25" s="10">
        <f>MAX(K25:L25)</f>
        <v>16.215275751853667</v>
      </c>
      <c r="N25" s="10">
        <f>MIN(H25:L25)</f>
        <v>11.495827814569536</v>
      </c>
    </row>
  </sheetData>
  <hyperlinks>
    <hyperlink ref="M1" r:id="rId1" xr:uid="{4D6845CA-7B5A-43C8-A141-F327D4328FD5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416C7-2C13-4EBB-B645-CB8807C3B5F3}">
  <dimension ref="A1:K8"/>
  <sheetViews>
    <sheetView tabSelected="1" workbookViewId="0">
      <selection activeCell="C10" sqref="C10"/>
    </sheetView>
  </sheetViews>
  <sheetFormatPr defaultColWidth="8.81640625" defaultRowHeight="14.5" x14ac:dyDescent="0.35"/>
  <cols>
    <col min="1" max="1" width="26.81640625" bestFit="1" customWidth="1"/>
    <col min="2" max="6" width="13.453125" customWidth="1"/>
    <col min="7" max="11" width="13.453125" bestFit="1" customWidth="1"/>
  </cols>
  <sheetData>
    <row r="1" spans="1:11" s="1" customFormat="1" x14ac:dyDescent="0.35">
      <c r="A1" s="1" t="str">
        <f>'[1]Balance Sheet'!A1</f>
        <v>CIGNITI TECHNOLOGIES LTD</v>
      </c>
      <c r="E1" t="str">
        <f>UPDATE</f>
        <v/>
      </c>
      <c r="F1"/>
      <c r="J1" s="1" t="s">
        <v>0</v>
      </c>
    </row>
    <row r="3" spans="1:11" s="1" customFormat="1" x14ac:dyDescent="0.35">
      <c r="A3" s="2" t="s">
        <v>1</v>
      </c>
      <c r="B3" s="3">
        <f>'[1]Data Sheet'!B81</f>
        <v>42460</v>
      </c>
      <c r="C3" s="3">
        <f>'[1]Data Sheet'!C81</f>
        <v>42825</v>
      </c>
      <c r="D3" s="3">
        <f>'[1]Data Sheet'!D81</f>
        <v>43190</v>
      </c>
      <c r="E3" s="3">
        <f>'[1]Data Sheet'!E81</f>
        <v>43555</v>
      </c>
      <c r="F3" s="3">
        <f>'[1]Data Sheet'!F81</f>
        <v>43921</v>
      </c>
      <c r="G3" s="3">
        <f>'[1]Data Sheet'!G81</f>
        <v>44286</v>
      </c>
      <c r="H3" s="3">
        <f>'[1]Data Sheet'!H81</f>
        <v>44651</v>
      </c>
      <c r="I3" s="3">
        <f>'[1]Data Sheet'!I81</f>
        <v>45016</v>
      </c>
      <c r="J3" s="3">
        <f>'[1]Data Sheet'!J81</f>
        <v>45382</v>
      </c>
      <c r="K3" s="3">
        <f>'[1]Data Sheet'!K81</f>
        <v>45747</v>
      </c>
    </row>
    <row r="4" spans="1:11" s="1" customFormat="1" x14ac:dyDescent="0.35">
      <c r="A4" s="1" t="s">
        <v>46</v>
      </c>
      <c r="B4" s="10">
        <f>'[1]Data Sheet'!B82</f>
        <v>115.3</v>
      </c>
      <c r="C4" s="10">
        <f>'[1]Data Sheet'!C82</f>
        <v>-48.28</v>
      </c>
      <c r="D4" s="10">
        <f>'[1]Data Sheet'!D82</f>
        <v>34.96</v>
      </c>
      <c r="E4" s="10">
        <f>'[1]Data Sheet'!E82</f>
        <v>126.99</v>
      </c>
      <c r="F4" s="10">
        <f>'[1]Data Sheet'!F82</f>
        <v>86.6</v>
      </c>
      <c r="G4" s="10">
        <f>'[1]Data Sheet'!G82</f>
        <v>144.86000000000001</v>
      </c>
      <c r="H4" s="10">
        <f>'[1]Data Sheet'!H82</f>
        <v>38.21</v>
      </c>
      <c r="I4" s="10">
        <f>'[1]Data Sheet'!I82</f>
        <v>157.16999999999999</v>
      </c>
      <c r="J4" s="10">
        <f>'[1]Data Sheet'!J82</f>
        <v>129.41999999999999</v>
      </c>
      <c r="K4" s="10">
        <f>'[1]Data Sheet'!K82</f>
        <v>159.9</v>
      </c>
    </row>
    <row r="5" spans="1:11" x14ac:dyDescent="0.35">
      <c r="A5" t="s">
        <v>47</v>
      </c>
      <c r="B5" s="11">
        <f>'[1]Data Sheet'!B83</f>
        <v>-197.42</v>
      </c>
      <c r="C5" s="11">
        <f>'[1]Data Sheet'!C83</f>
        <v>-5.81</v>
      </c>
      <c r="D5" s="11">
        <f>'[1]Data Sheet'!D83</f>
        <v>-4.8600000000000003</v>
      </c>
      <c r="E5" s="11">
        <f>'[1]Data Sheet'!E83</f>
        <v>-6.03</v>
      </c>
      <c r="F5" s="11">
        <f>'[1]Data Sheet'!F83</f>
        <v>-136.76</v>
      </c>
      <c r="G5" s="11">
        <f>'[1]Data Sheet'!G83</f>
        <v>-46.56</v>
      </c>
      <c r="H5" s="11">
        <f>'[1]Data Sheet'!H83</f>
        <v>-50.03</v>
      </c>
      <c r="I5" s="11">
        <f>'[1]Data Sheet'!I83</f>
        <v>-53.08</v>
      </c>
      <c r="J5" s="11">
        <f>'[1]Data Sheet'!J83</f>
        <v>-34.24</v>
      </c>
      <c r="K5" s="11">
        <f>'[1]Data Sheet'!K83</f>
        <v>-12</v>
      </c>
    </row>
    <row r="6" spans="1:11" x14ac:dyDescent="0.35">
      <c r="A6" t="s">
        <v>48</v>
      </c>
      <c r="B6" s="11">
        <f>'[1]Data Sheet'!B84</f>
        <v>52.21</v>
      </c>
      <c r="C6" s="11">
        <f>'[1]Data Sheet'!C84</f>
        <v>52.97</v>
      </c>
      <c r="D6" s="11">
        <f>'[1]Data Sheet'!D84</f>
        <v>-28.8</v>
      </c>
      <c r="E6" s="11">
        <f>'[1]Data Sheet'!E84</f>
        <v>-134.63</v>
      </c>
      <c r="F6" s="11">
        <f>'[1]Data Sheet'!F84</f>
        <v>-12.58</v>
      </c>
      <c r="G6" s="11">
        <f>'[1]Data Sheet'!G84</f>
        <v>-14.34</v>
      </c>
      <c r="H6" s="11">
        <f>'[1]Data Sheet'!H84</f>
        <v>-19.66</v>
      </c>
      <c r="I6" s="11">
        <f>'[1]Data Sheet'!I84</f>
        <v>-68.760000000000005</v>
      </c>
      <c r="J6" s="11">
        <f>'[1]Data Sheet'!J84</f>
        <v>-39.5</v>
      </c>
      <c r="K6" s="11">
        <f>'[1]Data Sheet'!K84</f>
        <v>-17.579999999999998</v>
      </c>
    </row>
    <row r="7" spans="1:11" s="1" customFormat="1" x14ac:dyDescent="0.35">
      <c r="A7" s="1" t="s">
        <v>49</v>
      </c>
      <c r="B7" s="10">
        <f>'[1]Data Sheet'!B85</f>
        <v>-29.92</v>
      </c>
      <c r="C7" s="10">
        <f>'[1]Data Sheet'!C85</f>
        <v>-1.1200000000000001</v>
      </c>
      <c r="D7" s="10">
        <f>'[1]Data Sheet'!D85</f>
        <v>1.3</v>
      </c>
      <c r="E7" s="10">
        <f>'[1]Data Sheet'!E85</f>
        <v>-13.68</v>
      </c>
      <c r="F7" s="10">
        <f>'[1]Data Sheet'!F85</f>
        <v>-62.74</v>
      </c>
      <c r="G7" s="10">
        <f>'[1]Data Sheet'!G85</f>
        <v>83.96</v>
      </c>
      <c r="H7" s="10">
        <f>'[1]Data Sheet'!H85</f>
        <v>-31.48</v>
      </c>
      <c r="I7" s="10">
        <f>'[1]Data Sheet'!I85</f>
        <v>35.33</v>
      </c>
      <c r="J7" s="10">
        <f>'[1]Data Sheet'!J85</f>
        <v>55.68</v>
      </c>
      <c r="K7" s="10">
        <f>'[1]Data Sheet'!K85</f>
        <v>130.32</v>
      </c>
    </row>
    <row r="8" spans="1:11" x14ac:dyDescent="0.35">
      <c r="B8" s="11"/>
      <c r="C8" s="11"/>
      <c r="D8" s="11"/>
      <c r="E8" s="11"/>
      <c r="F8" s="11"/>
      <c r="G8" s="11"/>
      <c r="H8" s="11"/>
      <c r="I8" s="11"/>
      <c r="J8" s="11"/>
      <c r="K8" s="11"/>
    </row>
  </sheetData>
  <hyperlinks>
    <hyperlink ref="J1" r:id="rId1" xr:uid="{634D0ED7-9796-42EF-8E2A-EF946E05BE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BS</vt:lpstr>
      <vt:lpstr>P&amp;L</vt:lpstr>
      <vt:lpstr>Cashflows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KLP EPP</dc:creator>
  <cp:lastModifiedBy>KLP EPP</cp:lastModifiedBy>
  <dcterms:created xsi:type="dcterms:W3CDTF">2015-06-05T18:17:20Z</dcterms:created>
  <dcterms:modified xsi:type="dcterms:W3CDTF">2026-08-24T12:46:59Z</dcterms:modified>
</cp:coreProperties>
</file>